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jvazquez\Documents\JVG\23-ClaudeCode\mundial\"/>
    </mc:Choice>
  </mc:AlternateContent>
  <xr:revisionPtr revIDLastSave="0" documentId="13_ncr:1_{DAC59FF0-494C-42B7-A23F-43FBAFA29572}" xr6:coauthVersionLast="47" xr6:coauthVersionMax="47" xr10:uidLastSave="{00000000-0000-0000-0000-000000000000}"/>
  <workbookProtection workbookAlgorithmName="SHA-512" workbookHashValue="p3NOuN7/l65pZkMU2oVksz7HxIPQ13cZ0Dg2/3MQLLL8MtzXhcizkSP9BoIO7/1tpTDhskym+pyeLBvllZC1Kg==" workbookSaltValue="maO362ilwhI+fenxa/DBVg==" workbookSpinCount="100000" lockStructure="1"/>
  <bookViews>
    <workbookView xWindow="-120" yWindow="-120" windowWidth="29040" windowHeight="15720" tabRatio="799" activeTab="3" xr2:uid="{00000000-000D-0000-FFFF-FFFF00000000}"/>
  </bookViews>
  <sheets>
    <sheet name="OFICIAL" sheetId="1" r:id="rId1"/>
    <sheet name="XXX" sheetId="19" r:id="rId2"/>
    <sheet name="creuaments" sheetId="21" r:id="rId3"/>
    <sheet name="SMJ" sheetId="20" r:id="rId4"/>
    <sheet name="AJD" sheetId="22" r:id="rId5"/>
    <sheet name="JCB" sheetId="23" r:id="rId6"/>
    <sheet name="AHG" sheetId="24" r:id="rId7"/>
    <sheet name="CSE" sheetId="26" r:id="rId8"/>
    <sheet name="ESS" sheetId="27" r:id="rId9"/>
    <sheet name="FCJ" sheetId="28" r:id="rId10"/>
    <sheet name="SFA" sheetId="29" r:id="rId11"/>
    <sheet name="DSA" sheetId="30" r:id="rId12"/>
    <sheet name="JVG" sheetId="31" r:id="rId13"/>
    <sheet name="JPP" sheetId="32" r:id="rId14"/>
    <sheet name="HCL" sheetId="33" r:id="rId15"/>
    <sheet name="DAL" sheetId="34" r:id="rId16"/>
    <sheet name="PSI" sheetId="35" r:id="rId17"/>
    <sheet name="NDC" sheetId="36" r:id="rId18"/>
    <sheet name="JST" sheetId="37" r:id="rId19"/>
    <sheet name="XRS" sheetId="38" r:id="rId20"/>
  </sheets>
  <externalReferences>
    <externalReference r:id="rId21"/>
    <externalReference r:id="rId2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8" l="1"/>
  <c r="Q11" i="38" s="1"/>
  <c r="M11" i="38"/>
  <c r="N11" i="38"/>
  <c r="O11" i="38"/>
  <c r="L12" i="38"/>
  <c r="R12" i="38" s="1"/>
  <c r="M12" i="38"/>
  <c r="N12" i="38"/>
  <c r="O12" i="38"/>
  <c r="L13" i="38"/>
  <c r="M13" i="38"/>
  <c r="N13" i="38"/>
  <c r="O13" i="38"/>
  <c r="Q13" i="38"/>
  <c r="R13" i="38"/>
  <c r="S13" i="38"/>
  <c r="L14" i="38"/>
  <c r="Q14" i="38" s="1"/>
  <c r="M14" i="38"/>
  <c r="N14" i="38"/>
  <c r="O14" i="38"/>
  <c r="L15" i="38"/>
  <c r="M15" i="38"/>
  <c r="N15" i="38"/>
  <c r="O15" i="38"/>
  <c r="Q15" i="38"/>
  <c r="R15" i="38"/>
  <c r="S15" i="38"/>
  <c r="L16" i="38"/>
  <c r="Q16" i="38" s="1"/>
  <c r="M16" i="38"/>
  <c r="N16" i="38"/>
  <c r="O16" i="38"/>
  <c r="L18" i="38"/>
  <c r="R18" i="38" s="1"/>
  <c r="M18" i="38"/>
  <c r="N18" i="38"/>
  <c r="O18" i="38"/>
  <c r="Q18" i="38"/>
  <c r="S18" i="38" s="1"/>
  <c r="L19" i="38"/>
  <c r="M19" i="38"/>
  <c r="N19" i="38"/>
  <c r="O19" i="38"/>
  <c r="Q19" i="38"/>
  <c r="R19" i="38"/>
  <c r="S19" i="38"/>
  <c r="L20" i="38"/>
  <c r="Q20" i="38" s="1"/>
  <c r="M20" i="38"/>
  <c r="N20" i="38"/>
  <c r="O20" i="38"/>
  <c r="L21" i="38"/>
  <c r="M21" i="38"/>
  <c r="N21" i="38"/>
  <c r="O21" i="38"/>
  <c r="Q21" i="38"/>
  <c r="R21" i="38"/>
  <c r="S21" i="38"/>
  <c r="L22" i="38"/>
  <c r="Q22" i="38" s="1"/>
  <c r="M22" i="38"/>
  <c r="N22" i="38"/>
  <c r="O22" i="38"/>
  <c r="L23" i="38"/>
  <c r="M23" i="38"/>
  <c r="N23" i="38"/>
  <c r="O23" i="38"/>
  <c r="Q23" i="38"/>
  <c r="S23" i="38" s="1"/>
  <c r="R23" i="38"/>
  <c r="L25" i="38"/>
  <c r="Q25" i="38" s="1"/>
  <c r="S25" i="38" s="1"/>
  <c r="M25" i="38"/>
  <c r="N25" i="38"/>
  <c r="O25" i="38"/>
  <c r="R25" i="38"/>
  <c r="L26" i="38"/>
  <c r="R26" i="38" s="1"/>
  <c r="M26" i="38"/>
  <c r="N26" i="38"/>
  <c r="O26" i="38"/>
  <c r="L27" i="38"/>
  <c r="M27" i="38"/>
  <c r="N27" i="38"/>
  <c r="O27" i="38"/>
  <c r="Q27" i="38"/>
  <c r="R27" i="38"/>
  <c r="S27" i="38"/>
  <c r="L28" i="38"/>
  <c r="Q28" i="38" s="1"/>
  <c r="M28" i="38"/>
  <c r="N28" i="38"/>
  <c r="O28" i="38"/>
  <c r="L29" i="38"/>
  <c r="M29" i="38"/>
  <c r="N29" i="38"/>
  <c r="O29" i="38"/>
  <c r="Q29" i="38"/>
  <c r="R29" i="38"/>
  <c r="S29" i="38"/>
  <c r="L30" i="38"/>
  <c r="R30" i="38" s="1"/>
  <c r="M30" i="38"/>
  <c r="N30" i="38"/>
  <c r="O30" i="38"/>
  <c r="Q30" i="38"/>
  <c r="S30" i="38" s="1"/>
  <c r="L32" i="38"/>
  <c r="R32" i="38" s="1"/>
  <c r="M32" i="38"/>
  <c r="N32" i="38"/>
  <c r="O32" i="38"/>
  <c r="Q32" i="38"/>
  <c r="L33" i="38"/>
  <c r="M33" i="38"/>
  <c r="N33" i="38"/>
  <c r="Q33" i="38" s="1"/>
  <c r="O33" i="38"/>
  <c r="L34" i="38"/>
  <c r="Q34" i="38" s="1"/>
  <c r="M34" i="38"/>
  <c r="N34" i="38"/>
  <c r="O34" i="38"/>
  <c r="L35" i="38"/>
  <c r="Q35" i="38" s="1"/>
  <c r="S35" i="38" s="1"/>
  <c r="M35" i="38"/>
  <c r="N35" i="38"/>
  <c r="O35" i="38"/>
  <c r="R35" i="38"/>
  <c r="L36" i="38"/>
  <c r="Q36" i="38" s="1"/>
  <c r="M36" i="38"/>
  <c r="N36" i="38"/>
  <c r="O36" i="38"/>
  <c r="L37" i="38"/>
  <c r="M37" i="38"/>
  <c r="N37" i="38"/>
  <c r="O37" i="38"/>
  <c r="Q37" i="38"/>
  <c r="S37" i="38" s="1"/>
  <c r="R37" i="38"/>
  <c r="L39" i="38"/>
  <c r="Q39" i="38" s="1"/>
  <c r="S39" i="38" s="1"/>
  <c r="M39" i="38"/>
  <c r="N39" i="38"/>
  <c r="O39" i="38"/>
  <c r="R39" i="38"/>
  <c r="L40" i="38"/>
  <c r="R40" i="38" s="1"/>
  <c r="M40" i="38"/>
  <c r="N40" i="38"/>
  <c r="O40" i="38"/>
  <c r="L41" i="38"/>
  <c r="M41" i="38"/>
  <c r="N41" i="38"/>
  <c r="O41" i="38"/>
  <c r="Q41" i="38"/>
  <c r="R41" i="38"/>
  <c r="S41" i="38"/>
  <c r="L42" i="38"/>
  <c r="Q42" i="38" s="1"/>
  <c r="M42" i="38"/>
  <c r="N42" i="38"/>
  <c r="O42" i="38"/>
  <c r="L43" i="38"/>
  <c r="M43" i="38"/>
  <c r="N43" i="38"/>
  <c r="O43" i="38"/>
  <c r="Q43" i="38"/>
  <c r="R43" i="38"/>
  <c r="S43" i="38"/>
  <c r="L44" i="38"/>
  <c r="R44" i="38" s="1"/>
  <c r="M44" i="38"/>
  <c r="N44" i="38"/>
  <c r="O44" i="38"/>
  <c r="Q44" i="38"/>
  <c r="S44" i="38" s="1"/>
  <c r="L46" i="38"/>
  <c r="R46" i="38" s="1"/>
  <c r="M46" i="38"/>
  <c r="N46" i="38"/>
  <c r="O46" i="38"/>
  <c r="Q46" i="38"/>
  <c r="L47" i="38"/>
  <c r="M47" i="38"/>
  <c r="N47" i="38"/>
  <c r="Q47" i="38" s="1"/>
  <c r="O47" i="38"/>
  <c r="L48" i="38"/>
  <c r="Q48" i="38" s="1"/>
  <c r="M48" i="38"/>
  <c r="N48" i="38"/>
  <c r="O48" i="38"/>
  <c r="L49" i="38"/>
  <c r="Q49" i="38" s="1"/>
  <c r="S49" i="38" s="1"/>
  <c r="M49" i="38"/>
  <c r="N49" i="38"/>
  <c r="O49" i="38"/>
  <c r="R49" i="38"/>
  <c r="L50" i="38"/>
  <c r="Q50" i="38" s="1"/>
  <c r="M50" i="38"/>
  <c r="N50" i="38"/>
  <c r="O50" i="38"/>
  <c r="L51" i="38"/>
  <c r="M51" i="38"/>
  <c r="N51" i="38"/>
  <c r="O51" i="38"/>
  <c r="Q51" i="38"/>
  <c r="S51" i="38" s="1"/>
  <c r="R51" i="38"/>
  <c r="L53" i="38"/>
  <c r="Q53" i="38" s="1"/>
  <c r="S53" i="38" s="1"/>
  <c r="M53" i="38"/>
  <c r="N53" i="38"/>
  <c r="O53" i="38"/>
  <c r="R53" i="38"/>
  <c r="L54" i="38"/>
  <c r="R54" i="38" s="1"/>
  <c r="M54" i="38"/>
  <c r="N54" i="38"/>
  <c r="O54" i="38"/>
  <c r="L55" i="38"/>
  <c r="M55" i="38"/>
  <c r="N55" i="38"/>
  <c r="O55" i="38"/>
  <c r="Q55" i="38"/>
  <c r="R55" i="38"/>
  <c r="S55" i="38"/>
  <c r="L56" i="38"/>
  <c r="Q56" i="38" s="1"/>
  <c r="M56" i="38"/>
  <c r="N56" i="38"/>
  <c r="O56" i="38"/>
  <c r="L57" i="38"/>
  <c r="M57" i="38"/>
  <c r="N57" i="38"/>
  <c r="O57" i="38"/>
  <c r="Q57" i="38"/>
  <c r="R57" i="38"/>
  <c r="S57" i="38"/>
  <c r="L58" i="38"/>
  <c r="R58" i="38" s="1"/>
  <c r="M58" i="38"/>
  <c r="N58" i="38"/>
  <c r="O58" i="38"/>
  <c r="Q58" i="38"/>
  <c r="S58" i="38" s="1"/>
  <c r="L60" i="38"/>
  <c r="R60" i="38" s="1"/>
  <c r="M60" i="38"/>
  <c r="N60" i="38"/>
  <c r="O60" i="38"/>
  <c r="Q60" i="38"/>
  <c r="L61" i="38"/>
  <c r="M61" i="38"/>
  <c r="N61" i="38"/>
  <c r="Q61" i="38" s="1"/>
  <c r="O61" i="38"/>
  <c r="L62" i="38"/>
  <c r="Q62" i="38" s="1"/>
  <c r="M62" i="38"/>
  <c r="N62" i="38"/>
  <c r="O62" i="38"/>
  <c r="L63" i="38"/>
  <c r="Q63" i="38" s="1"/>
  <c r="S63" i="38" s="1"/>
  <c r="M63" i="38"/>
  <c r="N63" i="38"/>
  <c r="O63" i="38"/>
  <c r="R63" i="38"/>
  <c r="L64" i="38"/>
  <c r="Q64" i="38" s="1"/>
  <c r="M64" i="38"/>
  <c r="N64" i="38"/>
  <c r="O64" i="38"/>
  <c r="L65" i="38"/>
  <c r="M65" i="38"/>
  <c r="N65" i="38"/>
  <c r="O65" i="38"/>
  <c r="Q65" i="38"/>
  <c r="S65" i="38" s="1"/>
  <c r="R65" i="38"/>
  <c r="L76" i="38"/>
  <c r="M76" i="38"/>
  <c r="N76" i="38"/>
  <c r="S76" i="38" s="1"/>
  <c r="O76" i="38"/>
  <c r="L77" i="38"/>
  <c r="M77" i="38"/>
  <c r="M109" i="38" s="1"/>
  <c r="N77" i="38"/>
  <c r="O77" i="38"/>
  <c r="O109" i="38" s="1"/>
  <c r="S77" i="38"/>
  <c r="L78" i="38"/>
  <c r="M78" i="38"/>
  <c r="N78" i="38"/>
  <c r="O78" i="38"/>
  <c r="S78" i="38"/>
  <c r="L79" i="38"/>
  <c r="M79" i="38"/>
  <c r="N79" i="38"/>
  <c r="O79" i="38"/>
  <c r="S79" i="38"/>
  <c r="L80" i="38"/>
  <c r="S80" i="38" s="1"/>
  <c r="M80" i="38"/>
  <c r="N80" i="38"/>
  <c r="O80" i="38"/>
  <c r="L81" i="38"/>
  <c r="M81" i="38"/>
  <c r="S81" i="38" s="1"/>
  <c r="N81" i="38"/>
  <c r="O81" i="38"/>
  <c r="L82" i="38"/>
  <c r="S82" i="38" s="1"/>
  <c r="M82" i="38"/>
  <c r="N82" i="38"/>
  <c r="O82" i="38"/>
  <c r="L83" i="38"/>
  <c r="M83" i="38"/>
  <c r="S83" i="38" s="1"/>
  <c r="N83" i="38"/>
  <c r="O83" i="38"/>
  <c r="L84" i="38"/>
  <c r="M84" i="38"/>
  <c r="N84" i="38"/>
  <c r="O84" i="38"/>
  <c r="S84" i="38"/>
  <c r="L85" i="38"/>
  <c r="S85" i="38" s="1"/>
  <c r="M85" i="38"/>
  <c r="N85" i="38"/>
  <c r="O85" i="38"/>
  <c r="L86" i="38"/>
  <c r="S86" i="38" s="1"/>
  <c r="M86" i="38"/>
  <c r="N86" i="38"/>
  <c r="O86" i="38"/>
  <c r="L87" i="38"/>
  <c r="S87" i="38" s="1"/>
  <c r="M87" i="38"/>
  <c r="N87" i="38"/>
  <c r="O87" i="38"/>
  <c r="L88" i="38"/>
  <c r="M88" i="38"/>
  <c r="N88" i="38"/>
  <c r="S88" i="38" s="1"/>
  <c r="O88" i="38"/>
  <c r="L89" i="38"/>
  <c r="M89" i="38"/>
  <c r="N89" i="38"/>
  <c r="O89" i="38"/>
  <c r="S89" i="38"/>
  <c r="L90" i="38"/>
  <c r="M90" i="38"/>
  <c r="N90" i="38"/>
  <c r="O90" i="38"/>
  <c r="S90" i="38"/>
  <c r="L91" i="38"/>
  <c r="M91" i="38"/>
  <c r="N91" i="38"/>
  <c r="O91" i="38"/>
  <c r="S91" i="38"/>
  <c r="L92" i="38"/>
  <c r="S92" i="38" s="1"/>
  <c r="M92" i="38"/>
  <c r="N92" i="38"/>
  <c r="O92" i="38"/>
  <c r="L93" i="38"/>
  <c r="M93" i="38"/>
  <c r="S93" i="38" s="1"/>
  <c r="N93" i="38"/>
  <c r="O93" i="38"/>
  <c r="L94" i="38"/>
  <c r="S94" i="38" s="1"/>
  <c r="M94" i="38"/>
  <c r="N94" i="38"/>
  <c r="O94" i="38"/>
  <c r="L95" i="38"/>
  <c r="S95" i="38" s="1"/>
  <c r="M95" i="38"/>
  <c r="N95" i="38"/>
  <c r="O95" i="38"/>
  <c r="L96" i="38"/>
  <c r="M96" i="38"/>
  <c r="N96" i="38"/>
  <c r="O96" i="38"/>
  <c r="S96" i="38"/>
  <c r="L97" i="38"/>
  <c r="S97" i="38" s="1"/>
  <c r="M97" i="38"/>
  <c r="N97" i="38"/>
  <c r="O97" i="38"/>
  <c r="L98" i="38"/>
  <c r="S98" i="38" s="1"/>
  <c r="M98" i="38"/>
  <c r="N98" i="38"/>
  <c r="O98" i="38"/>
  <c r="L99" i="38"/>
  <c r="S99" i="38" s="1"/>
  <c r="M99" i="38"/>
  <c r="N99" i="38"/>
  <c r="O99" i="38"/>
  <c r="L100" i="38"/>
  <c r="S100" i="38" s="1"/>
  <c r="M100" i="38"/>
  <c r="N100" i="38"/>
  <c r="O100" i="38"/>
  <c r="L101" i="38"/>
  <c r="M101" i="38"/>
  <c r="N101" i="38"/>
  <c r="O101" i="38"/>
  <c r="S101" i="38"/>
  <c r="L102" i="38"/>
  <c r="M102" i="38"/>
  <c r="N102" i="38"/>
  <c r="O102" i="38"/>
  <c r="S102" i="38"/>
  <c r="L103" i="38"/>
  <c r="M103" i="38"/>
  <c r="N103" i="38"/>
  <c r="O103" i="38"/>
  <c r="S103" i="38"/>
  <c r="L104" i="38"/>
  <c r="S104" i="38" s="1"/>
  <c r="M104" i="38"/>
  <c r="N104" i="38"/>
  <c r="O104" i="38"/>
  <c r="L105" i="38"/>
  <c r="M105" i="38"/>
  <c r="S105" i="38" s="1"/>
  <c r="N105" i="38"/>
  <c r="O105" i="38"/>
  <c r="L106" i="38"/>
  <c r="S106" i="38" s="1"/>
  <c r="M106" i="38"/>
  <c r="N106" i="38"/>
  <c r="O106" i="38"/>
  <c r="L107" i="38"/>
  <c r="M107" i="38"/>
  <c r="N107" i="38"/>
  <c r="S107" i="38" s="1"/>
  <c r="O107" i="38"/>
  <c r="S113" i="38"/>
  <c r="Q118" i="38" s="1"/>
  <c r="Q133" i="38" s="1"/>
  <c r="S114" i="38"/>
  <c r="S115" i="38"/>
  <c r="S116" i="38"/>
  <c r="Q127" i="38"/>
  <c r="Q134" i="38" s="1"/>
  <c r="Q134" i="37"/>
  <c r="Q127" i="37"/>
  <c r="S116" i="37"/>
  <c r="S115" i="37"/>
  <c r="S114" i="37"/>
  <c r="S113" i="37"/>
  <c r="O107" i="37"/>
  <c r="N107" i="37"/>
  <c r="M107" i="37"/>
  <c r="L107" i="37"/>
  <c r="O106" i="37"/>
  <c r="N106" i="37"/>
  <c r="M106" i="37"/>
  <c r="L106" i="37"/>
  <c r="O105" i="37"/>
  <c r="N105" i="37"/>
  <c r="M105" i="37"/>
  <c r="S105" i="37" s="1"/>
  <c r="L105" i="37"/>
  <c r="O104" i="37"/>
  <c r="N104" i="37"/>
  <c r="M104" i="37"/>
  <c r="L104" i="37"/>
  <c r="O103" i="37"/>
  <c r="N103" i="37"/>
  <c r="M103" i="37"/>
  <c r="S103" i="37" s="1"/>
  <c r="L103" i="37"/>
  <c r="O102" i="37"/>
  <c r="N102" i="37"/>
  <c r="M102" i="37"/>
  <c r="L102" i="37"/>
  <c r="O101" i="37"/>
  <c r="N101" i="37"/>
  <c r="M101" i="37"/>
  <c r="L101" i="37"/>
  <c r="O100" i="37"/>
  <c r="N100" i="37"/>
  <c r="M100" i="37"/>
  <c r="L100" i="37"/>
  <c r="O99" i="37"/>
  <c r="N99" i="37"/>
  <c r="M99" i="37"/>
  <c r="L99" i="37"/>
  <c r="O98" i="37"/>
  <c r="S98" i="37" s="1"/>
  <c r="N98" i="37"/>
  <c r="M98" i="37"/>
  <c r="L98" i="37"/>
  <c r="O97" i="37"/>
  <c r="N97" i="37"/>
  <c r="M97" i="37"/>
  <c r="L97" i="37"/>
  <c r="O96" i="37"/>
  <c r="N96" i="37"/>
  <c r="M96" i="37"/>
  <c r="L96" i="37"/>
  <c r="O95" i="37"/>
  <c r="N95" i="37"/>
  <c r="M95" i="37"/>
  <c r="L95" i="37"/>
  <c r="S95" i="37" s="1"/>
  <c r="O94" i="37"/>
  <c r="N94" i="37"/>
  <c r="M94" i="37"/>
  <c r="L94" i="37"/>
  <c r="S94" i="37" s="1"/>
  <c r="O93" i="37"/>
  <c r="N93" i="37"/>
  <c r="M93" i="37"/>
  <c r="L93" i="37"/>
  <c r="S93" i="37" s="1"/>
  <c r="O92" i="37"/>
  <c r="N92" i="37"/>
  <c r="M92" i="37"/>
  <c r="L92" i="37"/>
  <c r="O91" i="37"/>
  <c r="N91" i="37"/>
  <c r="M91" i="37"/>
  <c r="L91" i="37"/>
  <c r="S91" i="37" s="1"/>
  <c r="O90" i="37"/>
  <c r="N90" i="37"/>
  <c r="M90" i="37"/>
  <c r="L90" i="37"/>
  <c r="S90" i="37" s="1"/>
  <c r="O89" i="37"/>
  <c r="N89" i="37"/>
  <c r="M89" i="37"/>
  <c r="S89" i="37" s="1"/>
  <c r="L89" i="37"/>
  <c r="O88" i="37"/>
  <c r="N88" i="37"/>
  <c r="M88" i="37"/>
  <c r="L88" i="37"/>
  <c r="O87" i="37"/>
  <c r="N87" i="37"/>
  <c r="M87" i="37"/>
  <c r="S87" i="37" s="1"/>
  <c r="L87" i="37"/>
  <c r="O86" i="37"/>
  <c r="N86" i="37"/>
  <c r="M86" i="37"/>
  <c r="L86" i="37"/>
  <c r="O85" i="37"/>
  <c r="N85" i="37"/>
  <c r="M85" i="37"/>
  <c r="L85" i="37"/>
  <c r="O84" i="37"/>
  <c r="N84" i="37"/>
  <c r="M84" i="37"/>
  <c r="L84" i="37"/>
  <c r="O83" i="37"/>
  <c r="N83" i="37"/>
  <c r="M83" i="37"/>
  <c r="L83" i="37"/>
  <c r="O82" i="37"/>
  <c r="N82" i="37"/>
  <c r="M82" i="37"/>
  <c r="L82" i="37"/>
  <c r="O81" i="37"/>
  <c r="N81" i="37"/>
  <c r="M81" i="37"/>
  <c r="L81" i="37"/>
  <c r="O80" i="37"/>
  <c r="N80" i="37"/>
  <c r="M80" i="37"/>
  <c r="L80" i="37"/>
  <c r="O79" i="37"/>
  <c r="S79" i="37" s="1"/>
  <c r="N79" i="37"/>
  <c r="M79" i="37"/>
  <c r="L79" i="37"/>
  <c r="O78" i="37"/>
  <c r="N78" i="37"/>
  <c r="M78" i="37"/>
  <c r="L78" i="37"/>
  <c r="O77" i="37"/>
  <c r="N77" i="37"/>
  <c r="M77" i="37"/>
  <c r="L77" i="37"/>
  <c r="O76" i="37"/>
  <c r="N76" i="37"/>
  <c r="M76" i="37"/>
  <c r="L76" i="37"/>
  <c r="O65" i="37"/>
  <c r="N65" i="37"/>
  <c r="M65" i="37"/>
  <c r="L65" i="37"/>
  <c r="R65" i="37" s="1"/>
  <c r="O64" i="37"/>
  <c r="N64" i="37"/>
  <c r="M64" i="37"/>
  <c r="L64" i="37"/>
  <c r="R64" i="37" s="1"/>
  <c r="O63" i="37"/>
  <c r="N63" i="37"/>
  <c r="M63" i="37"/>
  <c r="L63" i="37"/>
  <c r="R63" i="37" s="1"/>
  <c r="O62" i="37"/>
  <c r="N62" i="37"/>
  <c r="M62" i="37"/>
  <c r="L62" i="37"/>
  <c r="Q62" i="37" s="1"/>
  <c r="O61" i="37"/>
  <c r="N61" i="37"/>
  <c r="M61" i="37"/>
  <c r="L61" i="37"/>
  <c r="R61" i="37" s="1"/>
  <c r="O60" i="37"/>
  <c r="N60" i="37"/>
  <c r="M60" i="37"/>
  <c r="L60" i="37"/>
  <c r="R60" i="37" s="1"/>
  <c r="R58" i="37"/>
  <c r="O58" i="37"/>
  <c r="N58" i="37"/>
  <c r="M58" i="37"/>
  <c r="L58" i="37"/>
  <c r="Q58" i="37" s="1"/>
  <c r="R57" i="37"/>
  <c r="Q57" i="37"/>
  <c r="S57" i="37" s="1"/>
  <c r="O57" i="37"/>
  <c r="N57" i="37"/>
  <c r="M57" i="37"/>
  <c r="L57" i="37"/>
  <c r="R56" i="37"/>
  <c r="Q56" i="37"/>
  <c r="S56" i="37" s="1"/>
  <c r="O56" i="37"/>
  <c r="N56" i="37"/>
  <c r="M56" i="37"/>
  <c r="L56" i="37"/>
  <c r="O55" i="37"/>
  <c r="N55" i="37"/>
  <c r="R55" i="37" s="1"/>
  <c r="M55" i="37"/>
  <c r="L55" i="37"/>
  <c r="O54" i="37"/>
  <c r="N54" i="37"/>
  <c r="R54" i="37" s="1"/>
  <c r="M54" i="37"/>
  <c r="L54" i="37"/>
  <c r="O53" i="37"/>
  <c r="N53" i="37"/>
  <c r="M53" i="37"/>
  <c r="L53" i="37"/>
  <c r="Q53" i="37" s="1"/>
  <c r="O51" i="37"/>
  <c r="N51" i="37"/>
  <c r="M51" i="37"/>
  <c r="L51" i="37"/>
  <c r="R51" i="37" s="1"/>
  <c r="O50" i="37"/>
  <c r="N50" i="37"/>
  <c r="M50" i="37"/>
  <c r="L50" i="37"/>
  <c r="R50" i="37" s="1"/>
  <c r="R49" i="37"/>
  <c r="O49" i="37"/>
  <c r="N49" i="37"/>
  <c r="M49" i="37"/>
  <c r="L49" i="37"/>
  <c r="Q49" i="37" s="1"/>
  <c r="R48" i="37"/>
  <c r="Q48" i="37"/>
  <c r="S48" i="37" s="1"/>
  <c r="O48" i="37"/>
  <c r="N48" i="37"/>
  <c r="M48" i="37"/>
  <c r="L48" i="37"/>
  <c r="R47" i="37"/>
  <c r="Q47" i="37"/>
  <c r="O47" i="37"/>
  <c r="N47" i="37"/>
  <c r="M47" i="37"/>
  <c r="L47" i="37"/>
  <c r="O46" i="37"/>
  <c r="N46" i="37"/>
  <c r="R46" i="37" s="1"/>
  <c r="M46" i="37"/>
  <c r="L46" i="37"/>
  <c r="O44" i="37"/>
  <c r="N44" i="37"/>
  <c r="Q44" i="37" s="1"/>
  <c r="M44" i="37"/>
  <c r="L44" i="37"/>
  <c r="R44" i="37" s="1"/>
  <c r="O43" i="37"/>
  <c r="N43" i="37"/>
  <c r="M43" i="37"/>
  <c r="L43" i="37"/>
  <c r="Q43" i="37" s="1"/>
  <c r="O42" i="37"/>
  <c r="N42" i="37"/>
  <c r="M42" i="37"/>
  <c r="L42" i="37"/>
  <c r="R42" i="37" s="1"/>
  <c r="O41" i="37"/>
  <c r="N41" i="37"/>
  <c r="M41" i="37"/>
  <c r="L41" i="37"/>
  <c r="R41" i="37" s="1"/>
  <c r="R40" i="37"/>
  <c r="Q40" i="37"/>
  <c r="O40" i="37"/>
  <c r="N40" i="37"/>
  <c r="M40" i="37"/>
  <c r="L40" i="37"/>
  <c r="R39" i="37"/>
  <c r="Q39" i="37"/>
  <c r="O39" i="37"/>
  <c r="N39" i="37"/>
  <c r="M39" i="37"/>
  <c r="L39" i="37"/>
  <c r="Q37" i="37"/>
  <c r="O37" i="37"/>
  <c r="N37" i="37"/>
  <c r="R37" i="37" s="1"/>
  <c r="M37" i="37"/>
  <c r="L37" i="37"/>
  <c r="O36" i="37"/>
  <c r="N36" i="37"/>
  <c r="R36" i="37" s="1"/>
  <c r="M36" i="37"/>
  <c r="L36" i="37"/>
  <c r="O35" i="37"/>
  <c r="N35" i="37"/>
  <c r="M35" i="37"/>
  <c r="L35" i="37"/>
  <c r="R35" i="37" s="1"/>
  <c r="O34" i="37"/>
  <c r="N34" i="37"/>
  <c r="M34" i="37"/>
  <c r="L34" i="37"/>
  <c r="Q34" i="37" s="1"/>
  <c r="O33" i="37"/>
  <c r="N33" i="37"/>
  <c r="M33" i="37"/>
  <c r="L33" i="37"/>
  <c r="R33" i="37" s="1"/>
  <c r="R32" i="37"/>
  <c r="O32" i="37"/>
  <c r="N32" i="37"/>
  <c r="M32" i="37"/>
  <c r="L32" i="37"/>
  <c r="Q32" i="37" s="1"/>
  <c r="S32" i="37" s="1"/>
  <c r="R30" i="37"/>
  <c r="S30" i="37" s="1"/>
  <c r="Q30" i="37"/>
  <c r="O30" i="37"/>
  <c r="N30" i="37"/>
  <c r="M30" i="37"/>
  <c r="L30" i="37"/>
  <c r="R29" i="37"/>
  <c r="Q29" i="37"/>
  <c r="S29" i="37" s="1"/>
  <c r="O29" i="37"/>
  <c r="N29" i="37"/>
  <c r="M29" i="37"/>
  <c r="L29" i="37"/>
  <c r="Q28" i="37"/>
  <c r="O28" i="37"/>
  <c r="N28" i="37"/>
  <c r="R28" i="37" s="1"/>
  <c r="M28" i="37"/>
  <c r="L28" i="37"/>
  <c r="O27" i="37"/>
  <c r="N27" i="37"/>
  <c r="R27" i="37" s="1"/>
  <c r="M27" i="37"/>
  <c r="L27" i="37"/>
  <c r="O26" i="37"/>
  <c r="N26" i="37"/>
  <c r="M26" i="37"/>
  <c r="L26" i="37"/>
  <c r="R26" i="37" s="1"/>
  <c r="O25" i="37"/>
  <c r="N25" i="37"/>
  <c r="M25" i="37"/>
  <c r="L25" i="37"/>
  <c r="Q25" i="37" s="1"/>
  <c r="O23" i="37"/>
  <c r="N23" i="37"/>
  <c r="M23" i="37"/>
  <c r="L23" i="37"/>
  <c r="R23" i="37" s="1"/>
  <c r="R22" i="37"/>
  <c r="O22" i="37"/>
  <c r="N22" i="37"/>
  <c r="M22" i="37"/>
  <c r="L22" i="37"/>
  <c r="Q22" i="37" s="1"/>
  <c r="S22" i="37" s="1"/>
  <c r="R21" i="37"/>
  <c r="O21" i="37"/>
  <c r="N21" i="37"/>
  <c r="M21" i="37"/>
  <c r="L21" i="37"/>
  <c r="Q21" i="37" s="1"/>
  <c r="Q20" i="37"/>
  <c r="O20" i="37"/>
  <c r="N20" i="37"/>
  <c r="R20" i="37" s="1"/>
  <c r="M20" i="37"/>
  <c r="L20" i="37"/>
  <c r="O19" i="37"/>
  <c r="N19" i="37"/>
  <c r="Q19" i="37" s="1"/>
  <c r="S19" i="37" s="1"/>
  <c r="M19" i="37"/>
  <c r="L19" i="37"/>
  <c r="R19" i="37" s="1"/>
  <c r="O18" i="37"/>
  <c r="N18" i="37"/>
  <c r="M18" i="37"/>
  <c r="L18" i="37"/>
  <c r="R18" i="37" s="1"/>
  <c r="O16" i="37"/>
  <c r="N16" i="37"/>
  <c r="M16" i="37"/>
  <c r="L16" i="37"/>
  <c r="R16" i="37" s="1"/>
  <c r="O15" i="37"/>
  <c r="N15" i="37"/>
  <c r="M15" i="37"/>
  <c r="L15" i="37"/>
  <c r="Q15" i="37" s="1"/>
  <c r="O14" i="37"/>
  <c r="N14" i="37"/>
  <c r="M14" i="37"/>
  <c r="L14" i="37"/>
  <c r="R14" i="37" s="1"/>
  <c r="R13" i="37"/>
  <c r="O13" i="37"/>
  <c r="N13" i="37"/>
  <c r="M13" i="37"/>
  <c r="L13" i="37"/>
  <c r="Q13" i="37" s="1"/>
  <c r="S13" i="37" s="1"/>
  <c r="R12" i="37"/>
  <c r="Q12" i="37"/>
  <c r="S12" i="37" s="1"/>
  <c r="O12" i="37"/>
  <c r="N12" i="37"/>
  <c r="M12" i="37"/>
  <c r="L12" i="37"/>
  <c r="O11" i="37"/>
  <c r="N11" i="37"/>
  <c r="M11" i="37"/>
  <c r="L11" i="37"/>
  <c r="Q127" i="36"/>
  <c r="Q134" i="36" s="1"/>
  <c r="S116" i="36"/>
  <c r="S115" i="36"/>
  <c r="S114" i="36"/>
  <c r="S113" i="36"/>
  <c r="O107" i="36"/>
  <c r="N107" i="36"/>
  <c r="M107" i="36"/>
  <c r="L107" i="36"/>
  <c r="O106" i="36"/>
  <c r="N106" i="36"/>
  <c r="M106" i="36"/>
  <c r="L106" i="36"/>
  <c r="O105" i="36"/>
  <c r="N105" i="36"/>
  <c r="M105" i="36"/>
  <c r="L105" i="36"/>
  <c r="O104" i="36"/>
  <c r="N104" i="36"/>
  <c r="M104" i="36"/>
  <c r="L104" i="36"/>
  <c r="O103" i="36"/>
  <c r="N103" i="36"/>
  <c r="M103" i="36"/>
  <c r="L103" i="36"/>
  <c r="S103" i="36" s="1"/>
  <c r="O102" i="36"/>
  <c r="N102" i="36"/>
  <c r="M102" i="36"/>
  <c r="L102" i="36"/>
  <c r="O101" i="36"/>
  <c r="N101" i="36"/>
  <c r="M101" i="36"/>
  <c r="L101" i="36"/>
  <c r="S101" i="36" s="1"/>
  <c r="O100" i="36"/>
  <c r="N100" i="36"/>
  <c r="M100" i="36"/>
  <c r="L100" i="36"/>
  <c r="S100" i="36" s="1"/>
  <c r="O99" i="36"/>
  <c r="N99" i="36"/>
  <c r="M99" i="36"/>
  <c r="S99" i="36" s="1"/>
  <c r="L99" i="36"/>
  <c r="O98" i="36"/>
  <c r="N98" i="36"/>
  <c r="M98" i="36"/>
  <c r="L98" i="36"/>
  <c r="O97" i="36"/>
  <c r="N97" i="36"/>
  <c r="M97" i="36"/>
  <c r="L97" i="36"/>
  <c r="O96" i="36"/>
  <c r="N96" i="36"/>
  <c r="M96" i="36"/>
  <c r="L96" i="36"/>
  <c r="O95" i="36"/>
  <c r="N95" i="36"/>
  <c r="M95" i="36"/>
  <c r="L95" i="36"/>
  <c r="O94" i="36"/>
  <c r="N94" i="36"/>
  <c r="M94" i="36"/>
  <c r="L94" i="36"/>
  <c r="O93" i="36"/>
  <c r="N93" i="36"/>
  <c r="M93" i="36"/>
  <c r="L93" i="36"/>
  <c r="S92" i="36"/>
  <c r="O92" i="36"/>
  <c r="N92" i="36"/>
  <c r="M92" i="36"/>
  <c r="L92" i="36"/>
  <c r="O91" i="36"/>
  <c r="N91" i="36"/>
  <c r="M91" i="36"/>
  <c r="L91" i="36"/>
  <c r="O90" i="36"/>
  <c r="N90" i="36"/>
  <c r="M90" i="36"/>
  <c r="L90" i="36"/>
  <c r="O89" i="36"/>
  <c r="N89" i="36"/>
  <c r="M89" i="36"/>
  <c r="L89" i="36"/>
  <c r="O88" i="36"/>
  <c r="N88" i="36"/>
  <c r="M88" i="36"/>
  <c r="L88" i="36"/>
  <c r="O87" i="36"/>
  <c r="N87" i="36"/>
  <c r="M87" i="36"/>
  <c r="L87" i="36"/>
  <c r="S87" i="36" s="1"/>
  <c r="O86" i="36"/>
  <c r="N86" i="36"/>
  <c r="M86" i="36"/>
  <c r="L86" i="36"/>
  <c r="O85" i="36"/>
  <c r="N85" i="36"/>
  <c r="M85" i="36"/>
  <c r="L85" i="36"/>
  <c r="S85" i="36" s="1"/>
  <c r="O84" i="36"/>
  <c r="N84" i="36"/>
  <c r="M84" i="36"/>
  <c r="L84" i="36"/>
  <c r="S84" i="36" s="1"/>
  <c r="O83" i="36"/>
  <c r="N83" i="36"/>
  <c r="M83" i="36"/>
  <c r="S83" i="36" s="1"/>
  <c r="L83" i="36"/>
  <c r="O82" i="36"/>
  <c r="N82" i="36"/>
  <c r="M82" i="36"/>
  <c r="L82" i="36"/>
  <c r="S82" i="36" s="1"/>
  <c r="O81" i="36"/>
  <c r="N81" i="36"/>
  <c r="M81" i="36"/>
  <c r="L81" i="36"/>
  <c r="O80" i="36"/>
  <c r="N80" i="36"/>
  <c r="M80" i="36"/>
  <c r="L80" i="36"/>
  <c r="S80" i="36" s="1"/>
  <c r="O79" i="36"/>
  <c r="N79" i="36"/>
  <c r="M79" i="36"/>
  <c r="L79" i="36"/>
  <c r="O78" i="36"/>
  <c r="N78" i="36"/>
  <c r="M78" i="36"/>
  <c r="L78" i="36"/>
  <c r="O77" i="36"/>
  <c r="N77" i="36"/>
  <c r="M77" i="36"/>
  <c r="L77" i="36"/>
  <c r="O76" i="36"/>
  <c r="N76" i="36"/>
  <c r="M76" i="36"/>
  <c r="L76" i="36"/>
  <c r="R65" i="36"/>
  <c r="Q65" i="36"/>
  <c r="S65" i="36" s="1"/>
  <c r="O65" i="36"/>
  <c r="N65" i="36"/>
  <c r="M65" i="36"/>
  <c r="L65" i="36"/>
  <c r="Q64" i="36"/>
  <c r="S64" i="36" s="1"/>
  <c r="O64" i="36"/>
  <c r="N64" i="36"/>
  <c r="M64" i="36"/>
  <c r="L64" i="36"/>
  <c r="R64" i="36" s="1"/>
  <c r="O63" i="36"/>
  <c r="N63" i="36"/>
  <c r="R63" i="36" s="1"/>
  <c r="M63" i="36"/>
  <c r="L63" i="36"/>
  <c r="O62" i="36"/>
  <c r="N62" i="36"/>
  <c r="Q62" i="36" s="1"/>
  <c r="M62" i="36"/>
  <c r="L62" i="36"/>
  <c r="R62" i="36" s="1"/>
  <c r="O61" i="36"/>
  <c r="N61" i="36"/>
  <c r="M61" i="36"/>
  <c r="L61" i="36"/>
  <c r="R61" i="36" s="1"/>
  <c r="O60" i="36"/>
  <c r="N60" i="36"/>
  <c r="M60" i="36"/>
  <c r="L60" i="36"/>
  <c r="R60" i="36" s="1"/>
  <c r="R58" i="36"/>
  <c r="O58" i="36"/>
  <c r="N58" i="36"/>
  <c r="M58" i="36"/>
  <c r="L58" i="36"/>
  <c r="Q58" i="36" s="1"/>
  <c r="S58" i="36" s="1"/>
  <c r="R57" i="36"/>
  <c r="O57" i="36"/>
  <c r="N57" i="36"/>
  <c r="M57" i="36"/>
  <c r="L57" i="36"/>
  <c r="Q57" i="36" s="1"/>
  <c r="R56" i="36"/>
  <c r="Q56" i="36"/>
  <c r="O56" i="36"/>
  <c r="N56" i="36"/>
  <c r="M56" i="36"/>
  <c r="L56" i="36"/>
  <c r="Q55" i="36"/>
  <c r="O55" i="36"/>
  <c r="N55" i="36"/>
  <c r="M55" i="36"/>
  <c r="L55" i="36"/>
  <c r="R55" i="36" s="1"/>
  <c r="O54" i="36"/>
  <c r="N54" i="36"/>
  <c r="R54" i="36" s="1"/>
  <c r="M54" i="36"/>
  <c r="L54" i="36"/>
  <c r="O53" i="36"/>
  <c r="N53" i="36"/>
  <c r="Q53" i="36" s="1"/>
  <c r="S53" i="36" s="1"/>
  <c r="M53" i="36"/>
  <c r="L53" i="36"/>
  <c r="R53" i="36" s="1"/>
  <c r="O51" i="36"/>
  <c r="N51" i="36"/>
  <c r="M51" i="36"/>
  <c r="L51" i="36"/>
  <c r="R51" i="36" s="1"/>
  <c r="O50" i="36"/>
  <c r="N50" i="36"/>
  <c r="M50" i="36"/>
  <c r="L50" i="36"/>
  <c r="R50" i="36" s="1"/>
  <c r="R49" i="36"/>
  <c r="O49" i="36"/>
  <c r="N49" i="36"/>
  <c r="M49" i="36"/>
  <c r="L49" i="36"/>
  <c r="Q49" i="36" s="1"/>
  <c r="R48" i="36"/>
  <c r="O48" i="36"/>
  <c r="N48" i="36"/>
  <c r="M48" i="36"/>
  <c r="L48" i="36"/>
  <c r="Q48" i="36" s="1"/>
  <c r="S48" i="36" s="1"/>
  <c r="R47" i="36"/>
  <c r="Q47" i="36"/>
  <c r="S47" i="36" s="1"/>
  <c r="O47" i="36"/>
  <c r="N47" i="36"/>
  <c r="M47" i="36"/>
  <c r="L47" i="36"/>
  <c r="Q46" i="36"/>
  <c r="O46" i="36"/>
  <c r="N46" i="36"/>
  <c r="M46" i="36"/>
  <c r="L46" i="36"/>
  <c r="R46" i="36" s="1"/>
  <c r="O44" i="36"/>
  <c r="N44" i="36"/>
  <c r="R44" i="36" s="1"/>
  <c r="M44" i="36"/>
  <c r="L44" i="36"/>
  <c r="O43" i="36"/>
  <c r="N43" i="36"/>
  <c r="Q43" i="36" s="1"/>
  <c r="S43" i="36" s="1"/>
  <c r="M43" i="36"/>
  <c r="L43" i="36"/>
  <c r="R43" i="36" s="1"/>
  <c r="O42" i="36"/>
  <c r="N42" i="36"/>
  <c r="M42" i="36"/>
  <c r="L42" i="36"/>
  <c r="R42" i="36" s="1"/>
  <c r="O41" i="36"/>
  <c r="N41" i="36"/>
  <c r="M41" i="36"/>
  <c r="L41" i="36"/>
  <c r="R41" i="36" s="1"/>
  <c r="R40" i="36"/>
  <c r="O40" i="36"/>
  <c r="N40" i="36"/>
  <c r="M40" i="36"/>
  <c r="L40" i="36"/>
  <c r="Q40" i="36" s="1"/>
  <c r="S40" i="36" s="1"/>
  <c r="R39" i="36"/>
  <c r="O39" i="36"/>
  <c r="N39" i="36"/>
  <c r="M39" i="36"/>
  <c r="L39" i="36"/>
  <c r="Q39" i="36" s="1"/>
  <c r="S39" i="36" s="1"/>
  <c r="R37" i="36"/>
  <c r="Q37" i="36"/>
  <c r="S37" i="36" s="1"/>
  <c r="O37" i="36"/>
  <c r="N37" i="36"/>
  <c r="M37" i="36"/>
  <c r="L37" i="36"/>
  <c r="Q36" i="36"/>
  <c r="S36" i="36" s="1"/>
  <c r="O36" i="36"/>
  <c r="N36" i="36"/>
  <c r="M36" i="36"/>
  <c r="L36" i="36"/>
  <c r="R36" i="36" s="1"/>
  <c r="O35" i="36"/>
  <c r="N35" i="36"/>
  <c r="R35" i="36" s="1"/>
  <c r="M35" i="36"/>
  <c r="L35" i="36"/>
  <c r="O34" i="36"/>
  <c r="N34" i="36"/>
  <c r="Q34" i="36" s="1"/>
  <c r="M34" i="36"/>
  <c r="L34" i="36"/>
  <c r="R34" i="36" s="1"/>
  <c r="O33" i="36"/>
  <c r="N33" i="36"/>
  <c r="M33" i="36"/>
  <c r="L33" i="36"/>
  <c r="R33" i="36" s="1"/>
  <c r="O32" i="36"/>
  <c r="N32" i="36"/>
  <c r="M32" i="36"/>
  <c r="L32" i="36"/>
  <c r="R32" i="36" s="1"/>
  <c r="R30" i="36"/>
  <c r="O30" i="36"/>
  <c r="N30" i="36"/>
  <c r="M30" i="36"/>
  <c r="L30" i="36"/>
  <c r="Q30" i="36" s="1"/>
  <c r="S30" i="36" s="1"/>
  <c r="R29" i="36"/>
  <c r="O29" i="36"/>
  <c r="N29" i="36"/>
  <c r="M29" i="36"/>
  <c r="L29" i="36"/>
  <c r="Q29" i="36" s="1"/>
  <c r="R28" i="36"/>
  <c r="Q28" i="36"/>
  <c r="S28" i="36" s="1"/>
  <c r="O28" i="36"/>
  <c r="N28" i="36"/>
  <c r="M28" i="36"/>
  <c r="L28" i="36"/>
  <c r="Q27" i="36"/>
  <c r="O27" i="36"/>
  <c r="N27" i="36"/>
  <c r="M27" i="36"/>
  <c r="L27" i="36"/>
  <c r="R27" i="36" s="1"/>
  <c r="O26" i="36"/>
  <c r="N26" i="36"/>
  <c r="R26" i="36" s="1"/>
  <c r="M26" i="36"/>
  <c r="L26" i="36"/>
  <c r="O25" i="36"/>
  <c r="N25" i="36"/>
  <c r="Q25" i="36" s="1"/>
  <c r="M25" i="36"/>
  <c r="L25" i="36"/>
  <c r="R25" i="36" s="1"/>
  <c r="O23" i="36"/>
  <c r="N23" i="36"/>
  <c r="M23" i="36"/>
  <c r="L23" i="36"/>
  <c r="R23" i="36" s="1"/>
  <c r="O22" i="36"/>
  <c r="N22" i="36"/>
  <c r="M22" i="36"/>
  <c r="L22" i="36"/>
  <c r="R22" i="36" s="1"/>
  <c r="R21" i="36"/>
  <c r="O21" i="36"/>
  <c r="N21" i="36"/>
  <c r="M21" i="36"/>
  <c r="L21" i="36"/>
  <c r="Q21" i="36" s="1"/>
  <c r="R20" i="36"/>
  <c r="O20" i="36"/>
  <c r="N20" i="36"/>
  <c r="M20" i="36"/>
  <c r="L20" i="36"/>
  <c r="Q20" i="36" s="1"/>
  <c r="S20" i="36" s="1"/>
  <c r="R19" i="36"/>
  <c r="Q19" i="36"/>
  <c r="O19" i="36"/>
  <c r="N19" i="36"/>
  <c r="M19" i="36"/>
  <c r="L19" i="36"/>
  <c r="Q18" i="36"/>
  <c r="S18" i="36" s="1"/>
  <c r="O18" i="36"/>
  <c r="N18" i="36"/>
  <c r="M18" i="36"/>
  <c r="L18" i="36"/>
  <c r="R18" i="36" s="1"/>
  <c r="O16" i="36"/>
  <c r="N16" i="36"/>
  <c r="Q16" i="36" s="1"/>
  <c r="M16" i="36"/>
  <c r="L16" i="36"/>
  <c r="O15" i="36"/>
  <c r="N15" i="36"/>
  <c r="Q15" i="36" s="1"/>
  <c r="S15" i="36" s="1"/>
  <c r="M15" i="36"/>
  <c r="L15" i="36"/>
  <c r="R15" i="36" s="1"/>
  <c r="O14" i="36"/>
  <c r="N14" i="36"/>
  <c r="M14" i="36"/>
  <c r="L14" i="36"/>
  <c r="R14" i="36" s="1"/>
  <c r="O13" i="36"/>
  <c r="N13" i="36"/>
  <c r="M13" i="36"/>
  <c r="L13" i="36"/>
  <c r="R13" i="36" s="1"/>
  <c r="R12" i="36"/>
  <c r="O12" i="36"/>
  <c r="N12" i="36"/>
  <c r="M12" i="36"/>
  <c r="L12" i="36"/>
  <c r="Q12" i="36" s="1"/>
  <c r="S12" i="36" s="1"/>
  <c r="R11" i="36"/>
  <c r="O11" i="36"/>
  <c r="N11" i="36"/>
  <c r="M11" i="36"/>
  <c r="L11" i="36"/>
  <c r="Q11" i="36" s="1"/>
  <c r="Q134" i="35"/>
  <c r="Q127" i="35"/>
  <c r="S116" i="35"/>
  <c r="S115" i="35"/>
  <c r="S114" i="35"/>
  <c r="S113" i="35"/>
  <c r="O107" i="35"/>
  <c r="N107" i="35"/>
  <c r="M107" i="35"/>
  <c r="L107" i="35"/>
  <c r="O106" i="35"/>
  <c r="N106" i="35"/>
  <c r="M106" i="35"/>
  <c r="L106" i="35"/>
  <c r="O105" i="35"/>
  <c r="N105" i="35"/>
  <c r="M105" i="35"/>
  <c r="L105" i="35"/>
  <c r="O104" i="35"/>
  <c r="N104" i="35"/>
  <c r="M104" i="35"/>
  <c r="L104" i="35"/>
  <c r="O103" i="35"/>
  <c r="N103" i="35"/>
  <c r="M103" i="35"/>
  <c r="L103" i="35"/>
  <c r="O102" i="35"/>
  <c r="N102" i="35"/>
  <c r="M102" i="35"/>
  <c r="L102" i="35"/>
  <c r="O101" i="35"/>
  <c r="N101" i="35"/>
  <c r="M101" i="35"/>
  <c r="L101" i="35"/>
  <c r="O100" i="35"/>
  <c r="N100" i="35"/>
  <c r="M100" i="35"/>
  <c r="L100" i="35"/>
  <c r="O99" i="35"/>
  <c r="N99" i="35"/>
  <c r="M99" i="35"/>
  <c r="L99" i="35"/>
  <c r="O98" i="35"/>
  <c r="N98" i="35"/>
  <c r="M98" i="35"/>
  <c r="L98" i="35"/>
  <c r="S98" i="35" s="1"/>
  <c r="O97" i="35"/>
  <c r="N97" i="35"/>
  <c r="M97" i="35"/>
  <c r="L97" i="35"/>
  <c r="O96" i="35"/>
  <c r="N96" i="35"/>
  <c r="M96" i="35"/>
  <c r="L96" i="35"/>
  <c r="S96" i="35" s="1"/>
  <c r="O95" i="35"/>
  <c r="N95" i="35"/>
  <c r="M95" i="35"/>
  <c r="L95" i="35"/>
  <c r="S95" i="35" s="1"/>
  <c r="O94" i="35"/>
  <c r="N94" i="35"/>
  <c r="M94" i="35"/>
  <c r="L94" i="35"/>
  <c r="O93" i="35"/>
  <c r="N93" i="35"/>
  <c r="M93" i="35"/>
  <c r="L93" i="35"/>
  <c r="S93" i="35" s="1"/>
  <c r="O92" i="35"/>
  <c r="N92" i="35"/>
  <c r="M92" i="35"/>
  <c r="L92" i="35"/>
  <c r="S92" i="35" s="1"/>
  <c r="O91" i="35"/>
  <c r="N91" i="35"/>
  <c r="M91" i="35"/>
  <c r="L91" i="35"/>
  <c r="O90" i="35"/>
  <c r="N90" i="35"/>
  <c r="M90" i="35"/>
  <c r="L90" i="35"/>
  <c r="O89" i="35"/>
  <c r="N89" i="35"/>
  <c r="M89" i="35"/>
  <c r="L89" i="35"/>
  <c r="O88" i="35"/>
  <c r="N88" i="35"/>
  <c r="M88" i="35"/>
  <c r="L88" i="35"/>
  <c r="O87" i="35"/>
  <c r="N87" i="35"/>
  <c r="M87" i="35"/>
  <c r="L87" i="35"/>
  <c r="S87" i="35" s="1"/>
  <c r="O86" i="35"/>
  <c r="N86" i="35"/>
  <c r="M86" i="35"/>
  <c r="S86" i="35" s="1"/>
  <c r="L86" i="35"/>
  <c r="O85" i="35"/>
  <c r="N85" i="35"/>
  <c r="M85" i="35"/>
  <c r="L85" i="35"/>
  <c r="O84" i="35"/>
  <c r="N84" i="35"/>
  <c r="M84" i="35"/>
  <c r="L84" i="35"/>
  <c r="S84" i="35" s="1"/>
  <c r="O83" i="35"/>
  <c r="N83" i="35"/>
  <c r="M83" i="35"/>
  <c r="L83" i="35"/>
  <c r="O82" i="35"/>
  <c r="N82" i="35"/>
  <c r="M82" i="35"/>
  <c r="L82" i="35"/>
  <c r="O81" i="35"/>
  <c r="N81" i="35"/>
  <c r="M81" i="35"/>
  <c r="L81" i="35"/>
  <c r="O80" i="35"/>
  <c r="N80" i="35"/>
  <c r="M80" i="35"/>
  <c r="L80" i="35"/>
  <c r="O79" i="35"/>
  <c r="S79" i="35" s="1"/>
  <c r="N79" i="35"/>
  <c r="M79" i="35"/>
  <c r="L79" i="35"/>
  <c r="O78" i="35"/>
  <c r="N78" i="35"/>
  <c r="M78" i="35"/>
  <c r="S78" i="35" s="1"/>
  <c r="L78" i="35"/>
  <c r="O77" i="35"/>
  <c r="N77" i="35"/>
  <c r="M77" i="35"/>
  <c r="L77" i="35"/>
  <c r="O76" i="35"/>
  <c r="N76" i="35"/>
  <c r="M76" i="35"/>
  <c r="L76" i="35"/>
  <c r="R65" i="35"/>
  <c r="Q65" i="35"/>
  <c r="S65" i="35" s="1"/>
  <c r="O65" i="35"/>
  <c r="N65" i="35"/>
  <c r="M65" i="35"/>
  <c r="L65" i="35"/>
  <c r="O64" i="35"/>
  <c r="N64" i="35"/>
  <c r="M64" i="35"/>
  <c r="L64" i="35"/>
  <c r="R64" i="35" s="1"/>
  <c r="R63" i="35"/>
  <c r="Q63" i="35"/>
  <c r="S63" i="35" s="1"/>
  <c r="O63" i="35"/>
  <c r="N63" i="35"/>
  <c r="M63" i="35"/>
  <c r="L63" i="35"/>
  <c r="O62" i="35"/>
  <c r="N62" i="35"/>
  <c r="M62" i="35"/>
  <c r="L62" i="35"/>
  <c r="R62" i="35" s="1"/>
  <c r="O61" i="35"/>
  <c r="N61" i="35"/>
  <c r="M61" i="35"/>
  <c r="L61" i="35"/>
  <c r="R61" i="35" s="1"/>
  <c r="Q60" i="35"/>
  <c r="O60" i="35"/>
  <c r="N60" i="35"/>
  <c r="M60" i="35"/>
  <c r="L60" i="35"/>
  <c r="R60" i="35" s="1"/>
  <c r="O58" i="35"/>
  <c r="N58" i="35"/>
  <c r="Q58" i="35" s="1"/>
  <c r="S58" i="35" s="1"/>
  <c r="M58" i="35"/>
  <c r="L58" i="35"/>
  <c r="R58" i="35" s="1"/>
  <c r="R57" i="35"/>
  <c r="S57" i="35" s="1"/>
  <c r="Q57" i="35"/>
  <c r="O57" i="35"/>
  <c r="N57" i="35"/>
  <c r="M57" i="35"/>
  <c r="L57" i="35"/>
  <c r="O56" i="35"/>
  <c r="N56" i="35"/>
  <c r="M56" i="35"/>
  <c r="L56" i="35"/>
  <c r="R56" i="35" s="1"/>
  <c r="R55" i="35"/>
  <c r="O55" i="35"/>
  <c r="N55" i="35"/>
  <c r="M55" i="35"/>
  <c r="L55" i="35"/>
  <c r="Q55" i="35" s="1"/>
  <c r="S55" i="35" s="1"/>
  <c r="O54" i="35"/>
  <c r="N54" i="35"/>
  <c r="M54" i="35"/>
  <c r="L54" i="35"/>
  <c r="R54" i="35" s="1"/>
  <c r="O53" i="35"/>
  <c r="N53" i="35"/>
  <c r="M53" i="35"/>
  <c r="L53" i="35"/>
  <c r="R53" i="35" s="1"/>
  <c r="R51" i="35"/>
  <c r="Q51" i="35"/>
  <c r="O51" i="35"/>
  <c r="N51" i="35"/>
  <c r="M51" i="35"/>
  <c r="L51" i="35"/>
  <c r="O50" i="35"/>
  <c r="N50" i="35"/>
  <c r="M50" i="35"/>
  <c r="L50" i="35"/>
  <c r="R50" i="35" s="1"/>
  <c r="R49" i="35"/>
  <c r="Q49" i="35"/>
  <c r="S49" i="35" s="1"/>
  <c r="O49" i="35"/>
  <c r="N49" i="35"/>
  <c r="M49" i="35"/>
  <c r="L49" i="35"/>
  <c r="O48" i="35"/>
  <c r="N48" i="35"/>
  <c r="M48" i="35"/>
  <c r="L48" i="35"/>
  <c r="R48" i="35" s="1"/>
  <c r="O47" i="35"/>
  <c r="N47" i="35"/>
  <c r="M47" i="35"/>
  <c r="L47" i="35"/>
  <c r="R47" i="35" s="1"/>
  <c r="Q46" i="35"/>
  <c r="S46" i="35" s="1"/>
  <c r="O46" i="35"/>
  <c r="N46" i="35"/>
  <c r="R46" i="35" s="1"/>
  <c r="M46" i="35"/>
  <c r="L46" i="35"/>
  <c r="O44" i="35"/>
  <c r="N44" i="35"/>
  <c r="Q44" i="35" s="1"/>
  <c r="M44" i="35"/>
  <c r="L44" i="35"/>
  <c r="R44" i="35" s="1"/>
  <c r="R43" i="35"/>
  <c r="Q43" i="35"/>
  <c r="O43" i="35"/>
  <c r="N43" i="35"/>
  <c r="M43" i="35"/>
  <c r="L43" i="35"/>
  <c r="O42" i="35"/>
  <c r="N42" i="35"/>
  <c r="M42" i="35"/>
  <c r="L42" i="35"/>
  <c r="R42" i="35" s="1"/>
  <c r="R41" i="35"/>
  <c r="O41" i="35"/>
  <c r="N41" i="35"/>
  <c r="M41" i="35"/>
  <c r="L41" i="35"/>
  <c r="Q41" i="35" s="1"/>
  <c r="S41" i="35" s="1"/>
  <c r="O40" i="35"/>
  <c r="N40" i="35"/>
  <c r="M40" i="35"/>
  <c r="L40" i="35"/>
  <c r="R40" i="35" s="1"/>
  <c r="O39" i="35"/>
  <c r="N39" i="35"/>
  <c r="M39" i="35"/>
  <c r="L39" i="35"/>
  <c r="R39" i="35" s="1"/>
  <c r="R37" i="35"/>
  <c r="Q37" i="35"/>
  <c r="S37" i="35" s="1"/>
  <c r="O37" i="35"/>
  <c r="N37" i="35"/>
  <c r="M37" i="35"/>
  <c r="L37" i="35"/>
  <c r="O36" i="35"/>
  <c r="N36" i="35"/>
  <c r="M36" i="35"/>
  <c r="L36" i="35"/>
  <c r="R36" i="35" s="1"/>
  <c r="R35" i="35"/>
  <c r="S35" i="35" s="1"/>
  <c r="Q35" i="35"/>
  <c r="O35" i="35"/>
  <c r="N35" i="35"/>
  <c r="M35" i="35"/>
  <c r="L35" i="35"/>
  <c r="O34" i="35"/>
  <c r="N34" i="35"/>
  <c r="M34" i="35"/>
  <c r="L34" i="35"/>
  <c r="R34" i="35" s="1"/>
  <c r="O33" i="35"/>
  <c r="N33" i="35"/>
  <c r="M33" i="35"/>
  <c r="L33" i="35"/>
  <c r="R33" i="35" s="1"/>
  <c r="Q32" i="35"/>
  <c r="S32" i="35" s="1"/>
  <c r="O32" i="35"/>
  <c r="N32" i="35"/>
  <c r="R32" i="35" s="1"/>
  <c r="M32" i="35"/>
  <c r="L32" i="35"/>
  <c r="O30" i="35"/>
  <c r="N30" i="35"/>
  <c r="Q30" i="35" s="1"/>
  <c r="S30" i="35" s="1"/>
  <c r="M30" i="35"/>
  <c r="L30" i="35"/>
  <c r="R30" i="35" s="1"/>
  <c r="R29" i="35"/>
  <c r="Q29" i="35"/>
  <c r="O29" i="35"/>
  <c r="N29" i="35"/>
  <c r="M29" i="35"/>
  <c r="L29" i="35"/>
  <c r="O28" i="35"/>
  <c r="N28" i="35"/>
  <c r="M28" i="35"/>
  <c r="L28" i="35"/>
  <c r="R28" i="35" s="1"/>
  <c r="R27" i="35"/>
  <c r="O27" i="35"/>
  <c r="N27" i="35"/>
  <c r="M27" i="35"/>
  <c r="L27" i="35"/>
  <c r="Q27" i="35" s="1"/>
  <c r="O26" i="35"/>
  <c r="N26" i="35"/>
  <c r="M26" i="35"/>
  <c r="L26" i="35"/>
  <c r="R26" i="35" s="1"/>
  <c r="O25" i="35"/>
  <c r="N25" i="35"/>
  <c r="M25" i="35"/>
  <c r="L25" i="35"/>
  <c r="R25" i="35" s="1"/>
  <c r="R23" i="35"/>
  <c r="Q23" i="35"/>
  <c r="S23" i="35" s="1"/>
  <c r="O23" i="35"/>
  <c r="N23" i="35"/>
  <c r="M23" i="35"/>
  <c r="L23" i="35"/>
  <c r="O22" i="35"/>
  <c r="N22" i="35"/>
  <c r="M22" i="35"/>
  <c r="L22" i="35"/>
  <c r="R22" i="35" s="1"/>
  <c r="R21" i="35"/>
  <c r="Q21" i="35"/>
  <c r="S21" i="35" s="1"/>
  <c r="O21" i="35"/>
  <c r="N21" i="35"/>
  <c r="M21" i="35"/>
  <c r="L21" i="35"/>
  <c r="O20" i="35"/>
  <c r="N20" i="35"/>
  <c r="M20" i="35"/>
  <c r="L20" i="35"/>
  <c r="R20" i="35" s="1"/>
  <c r="O19" i="35"/>
  <c r="N19" i="35"/>
  <c r="M19" i="35"/>
  <c r="L19" i="35"/>
  <c r="R19" i="35" s="1"/>
  <c r="Q18" i="35"/>
  <c r="S18" i="35" s="1"/>
  <c r="O18" i="35"/>
  <c r="N18" i="35"/>
  <c r="M18" i="35"/>
  <c r="L18" i="35"/>
  <c r="R18" i="35" s="1"/>
  <c r="O16" i="35"/>
  <c r="N16" i="35"/>
  <c r="Q16" i="35" s="1"/>
  <c r="S16" i="35" s="1"/>
  <c r="M16" i="35"/>
  <c r="L16" i="35"/>
  <c r="R16" i="35" s="1"/>
  <c r="R15" i="35"/>
  <c r="Q15" i="35"/>
  <c r="O15" i="35"/>
  <c r="N15" i="35"/>
  <c r="M15" i="35"/>
  <c r="L15" i="35"/>
  <c r="O14" i="35"/>
  <c r="N14" i="35"/>
  <c r="M14" i="35"/>
  <c r="L14" i="35"/>
  <c r="R14" i="35" s="1"/>
  <c r="R13" i="35"/>
  <c r="O13" i="35"/>
  <c r="N13" i="35"/>
  <c r="M13" i="35"/>
  <c r="L13" i="35"/>
  <c r="Q13" i="35" s="1"/>
  <c r="S13" i="35" s="1"/>
  <c r="O12" i="35"/>
  <c r="N12" i="35"/>
  <c r="M12" i="35"/>
  <c r="L12" i="35"/>
  <c r="R12" i="35" s="1"/>
  <c r="O11" i="35"/>
  <c r="N11" i="35"/>
  <c r="M11" i="35"/>
  <c r="L11" i="35"/>
  <c r="Q127" i="34"/>
  <c r="Q134" i="34" s="1"/>
  <c r="S116" i="34"/>
  <c r="S115" i="34"/>
  <c r="S114" i="34"/>
  <c r="S113" i="34"/>
  <c r="O107" i="34"/>
  <c r="N107" i="34"/>
  <c r="M107" i="34"/>
  <c r="L107" i="34"/>
  <c r="S107" i="34" s="1"/>
  <c r="O106" i="34"/>
  <c r="N106" i="34"/>
  <c r="M106" i="34"/>
  <c r="L106" i="34"/>
  <c r="S106" i="34" s="1"/>
  <c r="O105" i="34"/>
  <c r="N105" i="34"/>
  <c r="M105" i="34"/>
  <c r="L105" i="34"/>
  <c r="S105" i="34" s="1"/>
  <c r="O104" i="34"/>
  <c r="N104" i="34"/>
  <c r="M104" i="34"/>
  <c r="S104" i="34" s="1"/>
  <c r="L104" i="34"/>
  <c r="O103" i="34"/>
  <c r="N103" i="34"/>
  <c r="M103" i="34"/>
  <c r="S103" i="34" s="1"/>
  <c r="L103" i="34"/>
  <c r="O102" i="34"/>
  <c r="N102" i="34"/>
  <c r="M102" i="34"/>
  <c r="L102" i="34"/>
  <c r="S102" i="34" s="1"/>
  <c r="S101" i="34"/>
  <c r="O101" i="34"/>
  <c r="N101" i="34"/>
  <c r="M101" i="34"/>
  <c r="L101" i="34"/>
  <c r="O100" i="34"/>
  <c r="N100" i="34"/>
  <c r="M100" i="34"/>
  <c r="L100" i="34"/>
  <c r="O99" i="34"/>
  <c r="N99" i="34"/>
  <c r="M99" i="34"/>
  <c r="L99" i="34"/>
  <c r="O98" i="34"/>
  <c r="N98" i="34"/>
  <c r="M98" i="34"/>
  <c r="L98" i="34"/>
  <c r="S98" i="34" s="1"/>
  <c r="O97" i="34"/>
  <c r="N97" i="34"/>
  <c r="M97" i="34"/>
  <c r="L97" i="34"/>
  <c r="S97" i="34" s="1"/>
  <c r="S96" i="34"/>
  <c r="O96" i="34"/>
  <c r="N96" i="34"/>
  <c r="M96" i="34"/>
  <c r="L96" i="34"/>
  <c r="O95" i="34"/>
  <c r="N95" i="34"/>
  <c r="M95" i="34"/>
  <c r="L95" i="34"/>
  <c r="S95" i="34" s="1"/>
  <c r="O94" i="34"/>
  <c r="N94" i="34"/>
  <c r="M94" i="34"/>
  <c r="L94" i="34"/>
  <c r="S94" i="34" s="1"/>
  <c r="O93" i="34"/>
  <c r="S93" i="34" s="1"/>
  <c r="N93" i="34"/>
  <c r="M93" i="34"/>
  <c r="L93" i="34"/>
  <c r="O92" i="34"/>
  <c r="N92" i="34"/>
  <c r="M92" i="34"/>
  <c r="L92" i="34"/>
  <c r="O91" i="34"/>
  <c r="N91" i="34"/>
  <c r="M91" i="34"/>
  <c r="L91" i="34"/>
  <c r="S91" i="34" s="1"/>
  <c r="O90" i="34"/>
  <c r="N90" i="34"/>
  <c r="M90" i="34"/>
  <c r="L90" i="34"/>
  <c r="S90" i="34" s="1"/>
  <c r="O89" i="34"/>
  <c r="N89" i="34"/>
  <c r="M89" i="34"/>
  <c r="L89" i="34"/>
  <c r="S89" i="34" s="1"/>
  <c r="O88" i="34"/>
  <c r="N88" i="34"/>
  <c r="M88" i="34"/>
  <c r="L88" i="34"/>
  <c r="O87" i="34"/>
  <c r="N87" i="34"/>
  <c r="M87" i="34"/>
  <c r="L87" i="34"/>
  <c r="S87" i="34" s="1"/>
  <c r="O86" i="34"/>
  <c r="N86" i="34"/>
  <c r="M86" i="34"/>
  <c r="L86" i="34"/>
  <c r="S86" i="34" s="1"/>
  <c r="O85" i="34"/>
  <c r="S85" i="34" s="1"/>
  <c r="N85" i="34"/>
  <c r="M85" i="34"/>
  <c r="L85" i="34"/>
  <c r="O84" i="34"/>
  <c r="N84" i="34"/>
  <c r="M84" i="34"/>
  <c r="L84" i="34"/>
  <c r="O83" i="34"/>
  <c r="N83" i="34"/>
  <c r="M83" i="34"/>
  <c r="L83" i="34"/>
  <c r="S83" i="34" s="1"/>
  <c r="O82" i="34"/>
  <c r="N82" i="34"/>
  <c r="M82" i="34"/>
  <c r="L82" i="34"/>
  <c r="S82" i="34" s="1"/>
  <c r="O81" i="34"/>
  <c r="N81" i="34"/>
  <c r="M81" i="34"/>
  <c r="L81" i="34"/>
  <c r="S81" i="34" s="1"/>
  <c r="O80" i="34"/>
  <c r="N80" i="34"/>
  <c r="M80" i="34"/>
  <c r="L80" i="34"/>
  <c r="O79" i="34"/>
  <c r="N79" i="34"/>
  <c r="M79" i="34"/>
  <c r="L79" i="34"/>
  <c r="O78" i="34"/>
  <c r="N78" i="34"/>
  <c r="M78" i="34"/>
  <c r="L78" i="34"/>
  <c r="S78" i="34" s="1"/>
  <c r="O77" i="34"/>
  <c r="S77" i="34" s="1"/>
  <c r="N77" i="34"/>
  <c r="M77" i="34"/>
  <c r="L77" i="34"/>
  <c r="O76" i="34"/>
  <c r="O109" i="34" s="1"/>
  <c r="N76" i="34"/>
  <c r="N109" i="34" s="1"/>
  <c r="M76" i="34"/>
  <c r="L76" i="34"/>
  <c r="S76" i="34" s="1"/>
  <c r="O65" i="34"/>
  <c r="N65" i="34"/>
  <c r="M65" i="34"/>
  <c r="L65" i="34"/>
  <c r="R65" i="34" s="1"/>
  <c r="O64" i="34"/>
  <c r="N64" i="34"/>
  <c r="M64" i="34"/>
  <c r="L64" i="34"/>
  <c r="R64" i="34" s="1"/>
  <c r="O63" i="34"/>
  <c r="N63" i="34"/>
  <c r="R63" i="34" s="1"/>
  <c r="M63" i="34"/>
  <c r="L63" i="34"/>
  <c r="O62" i="34"/>
  <c r="N62" i="34"/>
  <c r="M62" i="34"/>
  <c r="L62" i="34"/>
  <c r="Q62" i="34" s="1"/>
  <c r="O61" i="34"/>
  <c r="N61" i="34"/>
  <c r="M61" i="34"/>
  <c r="L61" i="34"/>
  <c r="R61" i="34" s="1"/>
  <c r="O60" i="34"/>
  <c r="N60" i="34"/>
  <c r="M60" i="34"/>
  <c r="L60" i="34"/>
  <c r="R60" i="34" s="1"/>
  <c r="O58" i="34"/>
  <c r="N58" i="34"/>
  <c r="R58" i="34" s="1"/>
  <c r="M58" i="34"/>
  <c r="L58" i="34"/>
  <c r="Q58" i="34" s="1"/>
  <c r="O57" i="34"/>
  <c r="N57" i="34"/>
  <c r="M57" i="34"/>
  <c r="L57" i="34"/>
  <c r="R57" i="34" s="1"/>
  <c r="O56" i="34"/>
  <c r="N56" i="34"/>
  <c r="M56" i="34"/>
  <c r="L56" i="34"/>
  <c r="R56" i="34" s="1"/>
  <c r="O55" i="34"/>
  <c r="N55" i="34"/>
  <c r="R55" i="34" s="1"/>
  <c r="M55" i="34"/>
  <c r="L55" i="34"/>
  <c r="R54" i="34"/>
  <c r="O54" i="34"/>
  <c r="N54" i="34"/>
  <c r="Q54" i="34" s="1"/>
  <c r="S54" i="34" s="1"/>
  <c r="M54" i="34"/>
  <c r="L54" i="34"/>
  <c r="R53" i="34"/>
  <c r="Q53" i="34"/>
  <c r="O53" i="34"/>
  <c r="N53" i="34"/>
  <c r="M53" i="34"/>
  <c r="L53" i="34"/>
  <c r="Q51" i="34"/>
  <c r="S51" i="34" s="1"/>
  <c r="O51" i="34"/>
  <c r="N51" i="34"/>
  <c r="M51" i="34"/>
  <c r="L51" i="34"/>
  <c r="R51" i="34" s="1"/>
  <c r="O50" i="34"/>
  <c r="N50" i="34"/>
  <c r="M50" i="34"/>
  <c r="L50" i="34"/>
  <c r="R50" i="34" s="1"/>
  <c r="O49" i="34"/>
  <c r="N49" i="34"/>
  <c r="M49" i="34"/>
  <c r="L49" i="34"/>
  <c r="R49" i="34" s="1"/>
  <c r="O48" i="34"/>
  <c r="N48" i="34"/>
  <c r="M48" i="34"/>
  <c r="L48" i="34"/>
  <c r="R48" i="34" s="1"/>
  <c r="O47" i="34"/>
  <c r="N47" i="34"/>
  <c r="M47" i="34"/>
  <c r="L47" i="34"/>
  <c r="R47" i="34" s="1"/>
  <c r="Q46" i="34"/>
  <c r="O46" i="34"/>
  <c r="N46" i="34"/>
  <c r="R46" i="34" s="1"/>
  <c r="M46" i="34"/>
  <c r="L46" i="34"/>
  <c r="R44" i="34"/>
  <c r="O44" i="34"/>
  <c r="N44" i="34"/>
  <c r="Q44" i="34" s="1"/>
  <c r="S44" i="34" s="1"/>
  <c r="M44" i="34"/>
  <c r="L44" i="34"/>
  <c r="R43" i="34"/>
  <c r="Q43" i="34"/>
  <c r="S43" i="34" s="1"/>
  <c r="O43" i="34"/>
  <c r="N43" i="34"/>
  <c r="M43" i="34"/>
  <c r="L43" i="34"/>
  <c r="Q42" i="34"/>
  <c r="O42" i="34"/>
  <c r="N42" i="34"/>
  <c r="M42" i="34"/>
  <c r="L42" i="34"/>
  <c r="R42" i="34" s="1"/>
  <c r="O41" i="34"/>
  <c r="N41" i="34"/>
  <c r="M41" i="34"/>
  <c r="L41" i="34"/>
  <c r="R41" i="34" s="1"/>
  <c r="O40" i="34"/>
  <c r="N40" i="34"/>
  <c r="M40" i="34"/>
  <c r="L40" i="34"/>
  <c r="R40" i="34" s="1"/>
  <c r="O39" i="34"/>
  <c r="N39" i="34"/>
  <c r="M39" i="34"/>
  <c r="L39" i="34"/>
  <c r="R39" i="34" s="1"/>
  <c r="O37" i="34"/>
  <c r="N37" i="34"/>
  <c r="M37" i="34"/>
  <c r="L37" i="34"/>
  <c r="R37" i="34" s="1"/>
  <c r="R36" i="34"/>
  <c r="Q36" i="34"/>
  <c r="O36" i="34"/>
  <c r="N36" i="34"/>
  <c r="M36" i="34"/>
  <c r="L36" i="34"/>
  <c r="R35" i="34"/>
  <c r="Q35" i="34"/>
  <c r="O35" i="34"/>
  <c r="N35" i="34"/>
  <c r="M35" i="34"/>
  <c r="L35" i="34"/>
  <c r="R34" i="34"/>
  <c r="Q34" i="34"/>
  <c r="S34" i="34" s="1"/>
  <c r="O34" i="34"/>
  <c r="N34" i="34"/>
  <c r="M34" i="34"/>
  <c r="L34" i="34"/>
  <c r="Q33" i="34"/>
  <c r="O33" i="34"/>
  <c r="N33" i="34"/>
  <c r="M33" i="34"/>
  <c r="L33" i="34"/>
  <c r="R33" i="34" s="1"/>
  <c r="O32" i="34"/>
  <c r="N32" i="34"/>
  <c r="M32" i="34"/>
  <c r="L32" i="34"/>
  <c r="R32" i="34" s="1"/>
  <c r="O30" i="34"/>
  <c r="N30" i="34"/>
  <c r="M30" i="34"/>
  <c r="L30" i="34"/>
  <c r="R30" i="34" s="1"/>
  <c r="O29" i="34"/>
  <c r="N29" i="34"/>
  <c r="M29" i="34"/>
  <c r="L29" i="34"/>
  <c r="R29" i="34" s="1"/>
  <c r="O28" i="34"/>
  <c r="N28" i="34"/>
  <c r="M28" i="34"/>
  <c r="L28" i="34"/>
  <c r="R28" i="34" s="1"/>
  <c r="R27" i="34"/>
  <c r="Q27" i="34"/>
  <c r="O27" i="34"/>
  <c r="N27" i="34"/>
  <c r="M27" i="34"/>
  <c r="L27" i="34"/>
  <c r="R26" i="34"/>
  <c r="S26" i="34" s="1"/>
  <c r="Q26" i="34"/>
  <c r="O26" i="34"/>
  <c r="N26" i="34"/>
  <c r="M26" i="34"/>
  <c r="L26" i="34"/>
  <c r="R25" i="34"/>
  <c r="Q25" i="34"/>
  <c r="S25" i="34" s="1"/>
  <c r="O25" i="34"/>
  <c r="N25" i="34"/>
  <c r="M25" i="34"/>
  <c r="L25" i="34"/>
  <c r="Q23" i="34"/>
  <c r="O23" i="34"/>
  <c r="N23" i="34"/>
  <c r="M23" i="34"/>
  <c r="L23" i="34"/>
  <c r="R23" i="34" s="1"/>
  <c r="O22" i="34"/>
  <c r="N22" i="34"/>
  <c r="M22" i="34"/>
  <c r="L22" i="34"/>
  <c r="R22" i="34" s="1"/>
  <c r="O21" i="34"/>
  <c r="N21" i="34"/>
  <c r="M21" i="34"/>
  <c r="L21" i="34"/>
  <c r="R21" i="34" s="1"/>
  <c r="O20" i="34"/>
  <c r="N20" i="34"/>
  <c r="M20" i="34"/>
  <c r="L20" i="34"/>
  <c r="R20" i="34" s="1"/>
  <c r="O19" i="34"/>
  <c r="N19" i="34"/>
  <c r="M19" i="34"/>
  <c r="L19" i="34"/>
  <c r="R19" i="34" s="1"/>
  <c r="R18" i="34"/>
  <c r="Q18" i="34"/>
  <c r="O18" i="34"/>
  <c r="N18" i="34"/>
  <c r="M18" i="34"/>
  <c r="L18" i="34"/>
  <c r="R16" i="34"/>
  <c r="Q16" i="34"/>
  <c r="O16" i="34"/>
  <c r="N16" i="34"/>
  <c r="M16" i="34"/>
  <c r="L16" i="34"/>
  <c r="R15" i="34"/>
  <c r="Q15" i="34"/>
  <c r="S15" i="34" s="1"/>
  <c r="O15" i="34"/>
  <c r="N15" i="34"/>
  <c r="M15" i="34"/>
  <c r="L15" i="34"/>
  <c r="Q14" i="34"/>
  <c r="O14" i="34"/>
  <c r="N14" i="34"/>
  <c r="M14" i="34"/>
  <c r="L14" i="34"/>
  <c r="R14" i="34" s="1"/>
  <c r="O13" i="34"/>
  <c r="N13" i="34"/>
  <c r="M13" i="34"/>
  <c r="L13" i="34"/>
  <c r="R13" i="34" s="1"/>
  <c r="O12" i="34"/>
  <c r="N12" i="34"/>
  <c r="M12" i="34"/>
  <c r="L12" i="34"/>
  <c r="R12" i="34" s="1"/>
  <c r="O11" i="34"/>
  <c r="N11" i="34"/>
  <c r="M11" i="34"/>
  <c r="L11" i="34"/>
  <c r="R11" i="34" s="1"/>
  <c r="Q127" i="33"/>
  <c r="Q134" i="33" s="1"/>
  <c r="S116" i="33"/>
  <c r="S115" i="33"/>
  <c r="S114" i="33"/>
  <c r="S113" i="33"/>
  <c r="O107" i="33"/>
  <c r="N107" i="33"/>
  <c r="M107" i="33"/>
  <c r="L107" i="33"/>
  <c r="O106" i="33"/>
  <c r="N106" i="33"/>
  <c r="M106" i="33"/>
  <c r="L106" i="33"/>
  <c r="O105" i="33"/>
  <c r="N105" i="33"/>
  <c r="M105" i="33"/>
  <c r="L105" i="33"/>
  <c r="O104" i="33"/>
  <c r="N104" i="33"/>
  <c r="M104" i="33"/>
  <c r="L104" i="33"/>
  <c r="O103" i="33"/>
  <c r="N103" i="33"/>
  <c r="M103" i="33"/>
  <c r="L103" i="33"/>
  <c r="O102" i="33"/>
  <c r="N102" i="33"/>
  <c r="M102" i="33"/>
  <c r="L102" i="33"/>
  <c r="O101" i="33"/>
  <c r="N101" i="33"/>
  <c r="M101" i="33"/>
  <c r="L101" i="33"/>
  <c r="O100" i="33"/>
  <c r="N100" i="33"/>
  <c r="M100" i="33"/>
  <c r="L100" i="33"/>
  <c r="O99" i="33"/>
  <c r="N99" i="33"/>
  <c r="M99" i="33"/>
  <c r="L99" i="33"/>
  <c r="O98" i="33"/>
  <c r="N98" i="33"/>
  <c r="M98" i="33"/>
  <c r="L98" i="33"/>
  <c r="O97" i="33"/>
  <c r="N97" i="33"/>
  <c r="M97" i="33"/>
  <c r="L97" i="33"/>
  <c r="O96" i="33"/>
  <c r="N96" i="33"/>
  <c r="M96" i="33"/>
  <c r="L96" i="33"/>
  <c r="O95" i="33"/>
  <c r="N95" i="33"/>
  <c r="M95" i="33"/>
  <c r="L95" i="33"/>
  <c r="O94" i="33"/>
  <c r="N94" i="33"/>
  <c r="M94" i="33"/>
  <c r="L94" i="33"/>
  <c r="O93" i="33"/>
  <c r="N93" i="33"/>
  <c r="M93" i="33"/>
  <c r="L93" i="33"/>
  <c r="O92" i="33"/>
  <c r="N92" i="33"/>
  <c r="M92" i="33"/>
  <c r="L92" i="33"/>
  <c r="O91" i="33"/>
  <c r="N91" i="33"/>
  <c r="M91" i="33"/>
  <c r="L91" i="33"/>
  <c r="O90" i="33"/>
  <c r="N90" i="33"/>
  <c r="M90" i="33"/>
  <c r="L90" i="33"/>
  <c r="O89" i="33"/>
  <c r="N89" i="33"/>
  <c r="M89" i="33"/>
  <c r="L89" i="33"/>
  <c r="O88" i="33"/>
  <c r="N88" i="33"/>
  <c r="M88" i="33"/>
  <c r="L88" i="33"/>
  <c r="O87" i="33"/>
  <c r="N87" i="33"/>
  <c r="M87" i="33"/>
  <c r="L87" i="33"/>
  <c r="O86" i="33"/>
  <c r="N86" i="33"/>
  <c r="M86" i="33"/>
  <c r="L86" i="33"/>
  <c r="O85" i="33"/>
  <c r="N85" i="33"/>
  <c r="M85" i="33"/>
  <c r="L85" i="33"/>
  <c r="O84" i="33"/>
  <c r="N84" i="33"/>
  <c r="M84" i="33"/>
  <c r="L84" i="33"/>
  <c r="O83" i="33"/>
  <c r="N83" i="33"/>
  <c r="M83" i="33"/>
  <c r="L83" i="33"/>
  <c r="O82" i="33"/>
  <c r="N82" i="33"/>
  <c r="M82" i="33"/>
  <c r="L82" i="33"/>
  <c r="O81" i="33"/>
  <c r="N81" i="33"/>
  <c r="M81" i="33"/>
  <c r="L81" i="33"/>
  <c r="O80" i="33"/>
  <c r="N80" i="33"/>
  <c r="M80" i="33"/>
  <c r="L80" i="33"/>
  <c r="O79" i="33"/>
  <c r="N79" i="33"/>
  <c r="M79" i="33"/>
  <c r="L79" i="33"/>
  <c r="O78" i="33"/>
  <c r="N78" i="33"/>
  <c r="M78" i="33"/>
  <c r="L78" i="33"/>
  <c r="O77" i="33"/>
  <c r="N77" i="33"/>
  <c r="M77" i="33"/>
  <c r="L77" i="33"/>
  <c r="O76" i="33"/>
  <c r="N76" i="33"/>
  <c r="M76" i="33"/>
  <c r="L76" i="33"/>
  <c r="O65" i="33"/>
  <c r="N65" i="33"/>
  <c r="M65" i="33"/>
  <c r="L65" i="33"/>
  <c r="R65" i="33" s="1"/>
  <c r="O64" i="33"/>
  <c r="N64" i="33"/>
  <c r="M64" i="33"/>
  <c r="L64" i="33"/>
  <c r="R64" i="33" s="1"/>
  <c r="O63" i="33"/>
  <c r="N63" i="33"/>
  <c r="R63" i="33" s="1"/>
  <c r="M63" i="33"/>
  <c r="L63" i="33"/>
  <c r="Q63" i="33" s="1"/>
  <c r="R62" i="33"/>
  <c r="O62" i="33"/>
  <c r="N62" i="33"/>
  <c r="M62" i="33"/>
  <c r="L62" i="33"/>
  <c r="Q62" i="33" s="1"/>
  <c r="S62" i="33" s="1"/>
  <c r="O61" i="33"/>
  <c r="N61" i="33"/>
  <c r="M61" i="33"/>
  <c r="L61" i="33"/>
  <c r="R61" i="33" s="1"/>
  <c r="R60" i="33"/>
  <c r="O60" i="33"/>
  <c r="N60" i="33"/>
  <c r="M60" i="33"/>
  <c r="L60" i="33"/>
  <c r="Q60" i="33" s="1"/>
  <c r="S60" i="33" s="1"/>
  <c r="O58" i="33"/>
  <c r="N58" i="33"/>
  <c r="M58" i="33"/>
  <c r="L58" i="33"/>
  <c r="R58" i="33" s="1"/>
  <c r="R57" i="33"/>
  <c r="O57" i="33"/>
  <c r="N57" i="33"/>
  <c r="M57" i="33"/>
  <c r="L57" i="33"/>
  <c r="Q57" i="33" s="1"/>
  <c r="S57" i="33" s="1"/>
  <c r="O56" i="33"/>
  <c r="N56" i="33"/>
  <c r="M56" i="33"/>
  <c r="L56" i="33"/>
  <c r="R56" i="33" s="1"/>
  <c r="R55" i="33"/>
  <c r="O55" i="33"/>
  <c r="N55" i="33"/>
  <c r="M55" i="33"/>
  <c r="L55" i="33"/>
  <c r="Q55" i="33" s="1"/>
  <c r="S55" i="33" s="1"/>
  <c r="O54" i="33"/>
  <c r="N54" i="33"/>
  <c r="M54" i="33"/>
  <c r="L54" i="33"/>
  <c r="R54" i="33" s="1"/>
  <c r="R53" i="33"/>
  <c r="O53" i="33"/>
  <c r="N53" i="33"/>
  <c r="M53" i="33"/>
  <c r="L53" i="33"/>
  <c r="Q53" i="33" s="1"/>
  <c r="S53" i="33" s="1"/>
  <c r="O51" i="33"/>
  <c r="N51" i="33"/>
  <c r="M51" i="33"/>
  <c r="L51" i="33"/>
  <c r="R51" i="33" s="1"/>
  <c r="R50" i="33"/>
  <c r="O50" i="33"/>
  <c r="N50" i="33"/>
  <c r="M50" i="33"/>
  <c r="L50" i="33"/>
  <c r="Q50" i="33" s="1"/>
  <c r="S50" i="33" s="1"/>
  <c r="O49" i="33"/>
  <c r="N49" i="33"/>
  <c r="M49" i="33"/>
  <c r="L49" i="33"/>
  <c r="R49" i="33" s="1"/>
  <c r="R48" i="33"/>
  <c r="O48" i="33"/>
  <c r="N48" i="33"/>
  <c r="M48" i="33"/>
  <c r="L48" i="33"/>
  <c r="Q48" i="33" s="1"/>
  <c r="S48" i="33" s="1"/>
  <c r="O47" i="33"/>
  <c r="N47" i="33"/>
  <c r="M47" i="33"/>
  <c r="L47" i="33"/>
  <c r="R47" i="33" s="1"/>
  <c r="R46" i="33"/>
  <c r="O46" i="33"/>
  <c r="N46" i="33"/>
  <c r="M46" i="33"/>
  <c r="L46" i="33"/>
  <c r="Q46" i="33" s="1"/>
  <c r="S46" i="33" s="1"/>
  <c r="O44" i="33"/>
  <c r="N44" i="33"/>
  <c r="M44" i="33"/>
  <c r="L44" i="33"/>
  <c r="R44" i="33" s="1"/>
  <c r="R43" i="33"/>
  <c r="O43" i="33"/>
  <c r="N43" i="33"/>
  <c r="M43" i="33"/>
  <c r="L43" i="33"/>
  <c r="Q43" i="33" s="1"/>
  <c r="S43" i="33" s="1"/>
  <c r="O42" i="33"/>
  <c r="N42" i="33"/>
  <c r="M42" i="33"/>
  <c r="L42" i="33"/>
  <c r="R42" i="33" s="1"/>
  <c r="R41" i="33"/>
  <c r="O41" i="33"/>
  <c r="N41" i="33"/>
  <c r="M41" i="33"/>
  <c r="L41" i="33"/>
  <c r="Q41" i="33" s="1"/>
  <c r="S41" i="33" s="1"/>
  <c r="O40" i="33"/>
  <c r="N40" i="33"/>
  <c r="M40" i="33"/>
  <c r="L40" i="33"/>
  <c r="R40" i="33" s="1"/>
  <c r="R39" i="33"/>
  <c r="O39" i="33"/>
  <c r="N39" i="33"/>
  <c r="M39" i="33"/>
  <c r="L39" i="33"/>
  <c r="Q39" i="33" s="1"/>
  <c r="S39" i="33" s="1"/>
  <c r="O37" i="33"/>
  <c r="N37" i="33"/>
  <c r="M37" i="33"/>
  <c r="L37" i="33"/>
  <c r="R37" i="33" s="1"/>
  <c r="R36" i="33"/>
  <c r="O36" i="33"/>
  <c r="N36" i="33"/>
  <c r="M36" i="33"/>
  <c r="L36" i="33"/>
  <c r="Q36" i="33" s="1"/>
  <c r="S36" i="33" s="1"/>
  <c r="O35" i="33"/>
  <c r="N35" i="33"/>
  <c r="M35" i="33"/>
  <c r="L35" i="33"/>
  <c r="R35" i="33" s="1"/>
  <c r="R34" i="33"/>
  <c r="O34" i="33"/>
  <c r="N34" i="33"/>
  <c r="M34" i="33"/>
  <c r="L34" i="33"/>
  <c r="Q34" i="33" s="1"/>
  <c r="S34" i="33" s="1"/>
  <c r="O33" i="33"/>
  <c r="N33" i="33"/>
  <c r="M33" i="33"/>
  <c r="L33" i="33"/>
  <c r="R33" i="33" s="1"/>
  <c r="R32" i="33"/>
  <c r="O32" i="33"/>
  <c r="N32" i="33"/>
  <c r="M32" i="33"/>
  <c r="L32" i="33"/>
  <c r="Q32" i="33" s="1"/>
  <c r="S32" i="33" s="1"/>
  <c r="O30" i="33"/>
  <c r="N30" i="33"/>
  <c r="M30" i="33"/>
  <c r="L30" i="33"/>
  <c r="R30" i="33" s="1"/>
  <c r="R29" i="33"/>
  <c r="O29" i="33"/>
  <c r="N29" i="33"/>
  <c r="M29" i="33"/>
  <c r="L29" i="33"/>
  <c r="Q29" i="33" s="1"/>
  <c r="S29" i="33" s="1"/>
  <c r="O28" i="33"/>
  <c r="N28" i="33"/>
  <c r="M28" i="33"/>
  <c r="L28" i="33"/>
  <c r="R28" i="33" s="1"/>
  <c r="R27" i="33"/>
  <c r="O27" i="33"/>
  <c r="N27" i="33"/>
  <c r="M27" i="33"/>
  <c r="L27" i="33"/>
  <c r="Q27" i="33" s="1"/>
  <c r="S27" i="33" s="1"/>
  <c r="O26" i="33"/>
  <c r="N26" i="33"/>
  <c r="M26" i="33"/>
  <c r="L26" i="33"/>
  <c r="R26" i="33" s="1"/>
  <c r="R25" i="33"/>
  <c r="O25" i="33"/>
  <c r="N25" i="33"/>
  <c r="M25" i="33"/>
  <c r="L25" i="33"/>
  <c r="Q25" i="33" s="1"/>
  <c r="S25" i="33" s="1"/>
  <c r="O23" i="33"/>
  <c r="N23" i="33"/>
  <c r="M23" i="33"/>
  <c r="L23" i="33"/>
  <c r="R23" i="33" s="1"/>
  <c r="R22" i="33"/>
  <c r="O22" i="33"/>
  <c r="N22" i="33"/>
  <c r="M22" i="33"/>
  <c r="L22" i="33"/>
  <c r="Q22" i="33" s="1"/>
  <c r="S22" i="33" s="1"/>
  <c r="O21" i="33"/>
  <c r="N21" i="33"/>
  <c r="M21" i="33"/>
  <c r="L21" i="33"/>
  <c r="R21" i="33" s="1"/>
  <c r="R20" i="33"/>
  <c r="O20" i="33"/>
  <c r="N20" i="33"/>
  <c r="M20" i="33"/>
  <c r="L20" i="33"/>
  <c r="Q20" i="33" s="1"/>
  <c r="S20" i="33" s="1"/>
  <c r="O19" i="33"/>
  <c r="N19" i="33"/>
  <c r="M19" i="33"/>
  <c r="L19" i="33"/>
  <c r="R19" i="33" s="1"/>
  <c r="R18" i="33"/>
  <c r="O18" i="33"/>
  <c r="N18" i="33"/>
  <c r="M18" i="33"/>
  <c r="L18" i="33"/>
  <c r="Q18" i="33" s="1"/>
  <c r="S18" i="33" s="1"/>
  <c r="O16" i="33"/>
  <c r="N16" i="33"/>
  <c r="M16" i="33"/>
  <c r="L16" i="33"/>
  <c r="R16" i="33" s="1"/>
  <c r="R15" i="33"/>
  <c r="O15" i="33"/>
  <c r="N15" i="33"/>
  <c r="M15" i="33"/>
  <c r="L15" i="33"/>
  <c r="Q15" i="33" s="1"/>
  <c r="S15" i="33" s="1"/>
  <c r="O14" i="33"/>
  <c r="N14" i="33"/>
  <c r="M14" i="33"/>
  <c r="L14" i="33"/>
  <c r="R14" i="33" s="1"/>
  <c r="R13" i="33"/>
  <c r="O13" i="33"/>
  <c r="N13" i="33"/>
  <c r="M13" i="33"/>
  <c r="L13" i="33"/>
  <c r="Q13" i="33" s="1"/>
  <c r="S13" i="33" s="1"/>
  <c r="O12" i="33"/>
  <c r="N12" i="33"/>
  <c r="M12" i="33"/>
  <c r="L12" i="33"/>
  <c r="R12" i="33" s="1"/>
  <c r="R11" i="33"/>
  <c r="O11" i="33"/>
  <c r="N11" i="33"/>
  <c r="M11" i="33"/>
  <c r="L11" i="33"/>
  <c r="Q11" i="33" s="1"/>
  <c r="S11" i="33" s="1"/>
  <c r="Q127" i="32"/>
  <c r="Q134" i="32" s="1"/>
  <c r="S116" i="32"/>
  <c r="S115" i="32"/>
  <c r="S114" i="32"/>
  <c r="S113" i="32"/>
  <c r="O107" i="32"/>
  <c r="N107" i="32"/>
  <c r="M107" i="32"/>
  <c r="L107" i="32"/>
  <c r="S107" i="32" s="1"/>
  <c r="O106" i="32"/>
  <c r="N106" i="32"/>
  <c r="M106" i="32"/>
  <c r="L106" i="32"/>
  <c r="S106" i="32" s="1"/>
  <c r="O105" i="32"/>
  <c r="N105" i="32"/>
  <c r="S105" i="32" s="1"/>
  <c r="M105" i="32"/>
  <c r="L105" i="32"/>
  <c r="O104" i="32"/>
  <c r="N104" i="32"/>
  <c r="M104" i="32"/>
  <c r="L104" i="32"/>
  <c r="S104" i="32" s="1"/>
  <c r="O103" i="32"/>
  <c r="N103" i="32"/>
  <c r="M103" i="32"/>
  <c r="S103" i="32" s="1"/>
  <c r="L103" i="32"/>
  <c r="O102" i="32"/>
  <c r="N102" i="32"/>
  <c r="M102" i="32"/>
  <c r="L102" i="32"/>
  <c r="S102" i="32" s="1"/>
  <c r="O101" i="32"/>
  <c r="N101" i="32"/>
  <c r="M101" i="32"/>
  <c r="L101" i="32"/>
  <c r="S101" i="32" s="1"/>
  <c r="O100" i="32"/>
  <c r="N100" i="32"/>
  <c r="M100" i="32"/>
  <c r="L100" i="32"/>
  <c r="O99" i="32"/>
  <c r="N99" i="32"/>
  <c r="M99" i="32"/>
  <c r="L99" i="32"/>
  <c r="S99" i="32" s="1"/>
  <c r="O98" i="32"/>
  <c r="N98" i="32"/>
  <c r="M98" i="32"/>
  <c r="L98" i="32"/>
  <c r="S98" i="32" s="1"/>
  <c r="O97" i="32"/>
  <c r="N97" i="32"/>
  <c r="S97" i="32" s="1"/>
  <c r="M97" i="32"/>
  <c r="L97" i="32"/>
  <c r="O96" i="32"/>
  <c r="N96" i="32"/>
  <c r="M96" i="32"/>
  <c r="L96" i="32"/>
  <c r="O95" i="32"/>
  <c r="N95" i="32"/>
  <c r="M95" i="32"/>
  <c r="S95" i="32" s="1"/>
  <c r="L95" i="32"/>
  <c r="O94" i="32"/>
  <c r="N94" i="32"/>
  <c r="M94" i="32"/>
  <c r="L94" i="32"/>
  <c r="O93" i="32"/>
  <c r="N93" i="32"/>
  <c r="M93" i="32"/>
  <c r="L93" i="32"/>
  <c r="S93" i="32" s="1"/>
  <c r="O92" i="32"/>
  <c r="N92" i="32"/>
  <c r="M92" i="32"/>
  <c r="L92" i="32"/>
  <c r="S92" i="32" s="1"/>
  <c r="O91" i="32"/>
  <c r="N91" i="32"/>
  <c r="M91" i="32"/>
  <c r="L91" i="32"/>
  <c r="S91" i="32" s="1"/>
  <c r="O90" i="32"/>
  <c r="N90" i="32"/>
  <c r="M90" i="32"/>
  <c r="L90" i="32"/>
  <c r="S90" i="32" s="1"/>
  <c r="O89" i="32"/>
  <c r="N89" i="32"/>
  <c r="S89" i="32" s="1"/>
  <c r="M89" i="32"/>
  <c r="L89" i="32"/>
  <c r="S88" i="32"/>
  <c r="O88" i="32"/>
  <c r="N88" i="32"/>
  <c r="M88" i="32"/>
  <c r="L88" i="32"/>
  <c r="O87" i="32"/>
  <c r="N87" i="32"/>
  <c r="M87" i="32"/>
  <c r="S87" i="32" s="1"/>
  <c r="L87" i="32"/>
  <c r="O86" i="32"/>
  <c r="N86" i="32"/>
  <c r="M86" i="32"/>
  <c r="L86" i="32"/>
  <c r="S86" i="32" s="1"/>
  <c r="O85" i="32"/>
  <c r="N85" i="32"/>
  <c r="M85" i="32"/>
  <c r="L85" i="32"/>
  <c r="S85" i="32" s="1"/>
  <c r="O84" i="32"/>
  <c r="N84" i="32"/>
  <c r="M84" i="32"/>
  <c r="L84" i="32"/>
  <c r="O83" i="32"/>
  <c r="N83" i="32"/>
  <c r="M83" i="32"/>
  <c r="L83" i="32"/>
  <c r="S83" i="32" s="1"/>
  <c r="O82" i="32"/>
  <c r="N82" i="32"/>
  <c r="M82" i="32"/>
  <c r="L82" i="32"/>
  <c r="S82" i="32" s="1"/>
  <c r="O81" i="32"/>
  <c r="N81" i="32"/>
  <c r="S81" i="32" s="1"/>
  <c r="M81" i="32"/>
  <c r="L81" i="32"/>
  <c r="O80" i="32"/>
  <c r="N80" i="32"/>
  <c r="M80" i="32"/>
  <c r="L80" i="32"/>
  <c r="O79" i="32"/>
  <c r="N79" i="32"/>
  <c r="M79" i="32"/>
  <c r="L79" i="32"/>
  <c r="O78" i="32"/>
  <c r="N78" i="32"/>
  <c r="M78" i="32"/>
  <c r="L78" i="32"/>
  <c r="S78" i="32" s="1"/>
  <c r="O77" i="32"/>
  <c r="N77" i="32"/>
  <c r="M77" i="32"/>
  <c r="L77" i="32"/>
  <c r="S77" i="32" s="1"/>
  <c r="O76" i="32"/>
  <c r="N76" i="32"/>
  <c r="M76" i="32"/>
  <c r="L76" i="32"/>
  <c r="S76" i="32" s="1"/>
  <c r="O65" i="32"/>
  <c r="N65" i="32"/>
  <c r="M65" i="32"/>
  <c r="L65" i="32"/>
  <c r="R65" i="32" s="1"/>
  <c r="O64" i="32"/>
  <c r="N64" i="32"/>
  <c r="Q64" i="32" s="1"/>
  <c r="S64" i="32" s="1"/>
  <c r="M64" i="32"/>
  <c r="L64" i="32"/>
  <c r="R64" i="32" s="1"/>
  <c r="O63" i="32"/>
  <c r="N63" i="32"/>
  <c r="R63" i="32" s="1"/>
  <c r="M63" i="32"/>
  <c r="L63" i="32"/>
  <c r="Q63" i="32" s="1"/>
  <c r="R62" i="32"/>
  <c r="O62" i="32"/>
  <c r="N62" i="32"/>
  <c r="M62" i="32"/>
  <c r="L62" i="32"/>
  <c r="Q62" i="32" s="1"/>
  <c r="S62" i="32" s="1"/>
  <c r="Q61" i="32"/>
  <c r="O61" i="32"/>
  <c r="N61" i="32"/>
  <c r="M61" i="32"/>
  <c r="L61" i="32"/>
  <c r="R61" i="32" s="1"/>
  <c r="O60" i="32"/>
  <c r="N60" i="32"/>
  <c r="M60" i="32"/>
  <c r="L60" i="32"/>
  <c r="R60" i="32" s="1"/>
  <c r="O58" i="32"/>
  <c r="N58" i="32"/>
  <c r="R58" i="32" s="1"/>
  <c r="M58" i="32"/>
  <c r="L58" i="32"/>
  <c r="Q58" i="32" s="1"/>
  <c r="Q57" i="32"/>
  <c r="S57" i="32" s="1"/>
  <c r="O57" i="32"/>
  <c r="N57" i="32"/>
  <c r="R57" i="32" s="1"/>
  <c r="M57" i="32"/>
  <c r="L57" i="32"/>
  <c r="O56" i="32"/>
  <c r="N56" i="32"/>
  <c r="M56" i="32"/>
  <c r="L56" i="32"/>
  <c r="R56" i="32" s="1"/>
  <c r="O55" i="32"/>
  <c r="N55" i="32"/>
  <c r="M55" i="32"/>
  <c r="L55" i="32"/>
  <c r="R55" i="32" s="1"/>
  <c r="O54" i="32"/>
  <c r="N54" i="32"/>
  <c r="R54" i="32" s="1"/>
  <c r="M54" i="32"/>
  <c r="L54" i="32"/>
  <c r="R53" i="32"/>
  <c r="O53" i="32"/>
  <c r="N53" i="32"/>
  <c r="M53" i="32"/>
  <c r="L53" i="32"/>
  <c r="Q53" i="32" s="1"/>
  <c r="S53" i="32" s="1"/>
  <c r="R51" i="32"/>
  <c r="Q51" i="32"/>
  <c r="S51" i="32" s="1"/>
  <c r="O51" i="32"/>
  <c r="N51" i="32"/>
  <c r="M51" i="32"/>
  <c r="L51" i="32"/>
  <c r="Q50" i="32"/>
  <c r="O50" i="32"/>
  <c r="N50" i="32"/>
  <c r="M50" i="32"/>
  <c r="L50" i="32"/>
  <c r="R50" i="32" s="1"/>
  <c r="O49" i="32"/>
  <c r="N49" i="32"/>
  <c r="R49" i="32" s="1"/>
  <c r="M49" i="32"/>
  <c r="L49" i="32"/>
  <c r="Q49" i="32" s="1"/>
  <c r="O48" i="32"/>
  <c r="N48" i="32"/>
  <c r="Q48" i="32" s="1"/>
  <c r="M48" i="32"/>
  <c r="L48" i="32"/>
  <c r="R48" i="32" s="1"/>
  <c r="O47" i="32"/>
  <c r="N47" i="32"/>
  <c r="M47" i="32"/>
  <c r="L47" i="32"/>
  <c r="R47" i="32" s="1"/>
  <c r="O46" i="32"/>
  <c r="N46" i="32"/>
  <c r="M46" i="32"/>
  <c r="L46" i="32"/>
  <c r="R46" i="32" s="1"/>
  <c r="O44" i="32"/>
  <c r="N44" i="32"/>
  <c r="R44" i="32" s="1"/>
  <c r="M44" i="32"/>
  <c r="L44" i="32"/>
  <c r="R43" i="32"/>
  <c r="O43" i="32"/>
  <c r="N43" i="32"/>
  <c r="M43" i="32"/>
  <c r="L43" i="32"/>
  <c r="Q43" i="32" s="1"/>
  <c r="S43" i="32" s="1"/>
  <c r="R42" i="32"/>
  <c r="Q42" i="32"/>
  <c r="S42" i="32" s="1"/>
  <c r="O42" i="32"/>
  <c r="N42" i="32"/>
  <c r="M42" i="32"/>
  <c r="L42" i="32"/>
  <c r="Q41" i="32"/>
  <c r="S41" i="32" s="1"/>
  <c r="O41" i="32"/>
  <c r="N41" i="32"/>
  <c r="M41" i="32"/>
  <c r="L41" i="32"/>
  <c r="R41" i="32" s="1"/>
  <c r="O40" i="32"/>
  <c r="N40" i="32"/>
  <c r="R40" i="32" s="1"/>
  <c r="M40" i="32"/>
  <c r="L40" i="32"/>
  <c r="Q40" i="32" s="1"/>
  <c r="S40" i="32" s="1"/>
  <c r="O39" i="32"/>
  <c r="N39" i="32"/>
  <c r="Q39" i="32" s="1"/>
  <c r="S39" i="32" s="1"/>
  <c r="M39" i="32"/>
  <c r="L39" i="32"/>
  <c r="R39" i="32" s="1"/>
  <c r="O37" i="32"/>
  <c r="N37" i="32"/>
  <c r="M37" i="32"/>
  <c r="L37" i="32"/>
  <c r="R37" i="32" s="1"/>
  <c r="O36" i="32"/>
  <c r="N36" i="32"/>
  <c r="M36" i="32"/>
  <c r="L36" i="32"/>
  <c r="R36" i="32" s="1"/>
  <c r="O35" i="32"/>
  <c r="N35" i="32"/>
  <c r="R35" i="32" s="1"/>
  <c r="M35" i="32"/>
  <c r="L35" i="32"/>
  <c r="R34" i="32"/>
  <c r="O34" i="32"/>
  <c r="N34" i="32"/>
  <c r="M34" i="32"/>
  <c r="L34" i="32"/>
  <c r="Q34" i="32" s="1"/>
  <c r="S34" i="32" s="1"/>
  <c r="R33" i="32"/>
  <c r="Q33" i="32"/>
  <c r="S33" i="32" s="1"/>
  <c r="O33" i="32"/>
  <c r="N33" i="32"/>
  <c r="M33" i="32"/>
  <c r="L33" i="32"/>
  <c r="Q32" i="32"/>
  <c r="O32" i="32"/>
  <c r="N32" i="32"/>
  <c r="M32" i="32"/>
  <c r="L32" i="32"/>
  <c r="R32" i="32" s="1"/>
  <c r="O30" i="32"/>
  <c r="N30" i="32"/>
  <c r="R30" i="32" s="1"/>
  <c r="M30" i="32"/>
  <c r="L30" i="32"/>
  <c r="Q30" i="32" s="1"/>
  <c r="S30" i="32" s="1"/>
  <c r="O29" i="32"/>
  <c r="N29" i="32"/>
  <c r="Q29" i="32" s="1"/>
  <c r="M29" i="32"/>
  <c r="L29" i="32"/>
  <c r="R29" i="32" s="1"/>
  <c r="O28" i="32"/>
  <c r="N28" i="32"/>
  <c r="M28" i="32"/>
  <c r="L28" i="32"/>
  <c r="R28" i="32" s="1"/>
  <c r="O27" i="32"/>
  <c r="N27" i="32"/>
  <c r="M27" i="32"/>
  <c r="L27" i="32"/>
  <c r="R27" i="32" s="1"/>
  <c r="O26" i="32"/>
  <c r="N26" i="32"/>
  <c r="R26" i="32" s="1"/>
  <c r="M26" i="32"/>
  <c r="L26" i="32"/>
  <c r="R25" i="32"/>
  <c r="O25" i="32"/>
  <c r="N25" i="32"/>
  <c r="M25" i="32"/>
  <c r="L25" i="32"/>
  <c r="Q25" i="32" s="1"/>
  <c r="S25" i="32" s="1"/>
  <c r="R23" i="32"/>
  <c r="Q23" i="32"/>
  <c r="O23" i="32"/>
  <c r="N23" i="32"/>
  <c r="M23" i="32"/>
  <c r="L23" i="32"/>
  <c r="Q22" i="32"/>
  <c r="S22" i="32" s="1"/>
  <c r="O22" i="32"/>
  <c r="N22" i="32"/>
  <c r="M22" i="32"/>
  <c r="L22" i="32"/>
  <c r="R22" i="32" s="1"/>
  <c r="O21" i="32"/>
  <c r="N21" i="32"/>
  <c r="R21" i="32" s="1"/>
  <c r="M21" i="32"/>
  <c r="L21" i="32"/>
  <c r="Q21" i="32" s="1"/>
  <c r="S21" i="32" s="1"/>
  <c r="O20" i="32"/>
  <c r="N20" i="32"/>
  <c r="Q20" i="32" s="1"/>
  <c r="M20" i="32"/>
  <c r="L20" i="32"/>
  <c r="R20" i="32" s="1"/>
  <c r="O19" i="32"/>
  <c r="N19" i="32"/>
  <c r="M19" i="32"/>
  <c r="L19" i="32"/>
  <c r="R19" i="32" s="1"/>
  <c r="O18" i="32"/>
  <c r="N18" i="32"/>
  <c r="M18" i="32"/>
  <c r="L18" i="32"/>
  <c r="R18" i="32" s="1"/>
  <c r="O16" i="32"/>
  <c r="N16" i="32"/>
  <c r="R16" i="32" s="1"/>
  <c r="M16" i="32"/>
  <c r="L16" i="32"/>
  <c r="R15" i="32"/>
  <c r="O15" i="32"/>
  <c r="N15" i="32"/>
  <c r="M15" i="32"/>
  <c r="L15" i="32"/>
  <c r="Q15" i="32" s="1"/>
  <c r="R14" i="32"/>
  <c r="Q14" i="32"/>
  <c r="S14" i="32" s="1"/>
  <c r="O14" i="32"/>
  <c r="N14" i="32"/>
  <c r="M14" i="32"/>
  <c r="L14" i="32"/>
  <c r="Q13" i="32"/>
  <c r="O13" i="32"/>
  <c r="N13" i="32"/>
  <c r="M13" i="32"/>
  <c r="L13" i="32"/>
  <c r="R13" i="32" s="1"/>
  <c r="O12" i="32"/>
  <c r="N12" i="32"/>
  <c r="R12" i="32" s="1"/>
  <c r="M12" i="32"/>
  <c r="L12" i="32"/>
  <c r="Q12" i="32" s="1"/>
  <c r="S12" i="32" s="1"/>
  <c r="O11" i="32"/>
  <c r="N11" i="32"/>
  <c r="M11" i="32"/>
  <c r="L11" i="32"/>
  <c r="R11" i="32" s="1"/>
  <c r="Q127" i="31"/>
  <c r="Q134" i="31" s="1"/>
  <c r="S116" i="31"/>
  <c r="S115" i="31"/>
  <c r="S114" i="31"/>
  <c r="S113" i="31"/>
  <c r="O107" i="31"/>
  <c r="N107" i="31"/>
  <c r="M107" i="31"/>
  <c r="L107" i="31"/>
  <c r="S107" i="31" s="1"/>
  <c r="O106" i="31"/>
  <c r="N106" i="31"/>
  <c r="M106" i="31"/>
  <c r="L106" i="31"/>
  <c r="S106" i="31" s="1"/>
  <c r="O105" i="31"/>
  <c r="N105" i="31"/>
  <c r="M105" i="31"/>
  <c r="L105" i="31"/>
  <c r="S105" i="31" s="1"/>
  <c r="O104" i="31"/>
  <c r="N104" i="31"/>
  <c r="M104" i="31"/>
  <c r="L104" i="31"/>
  <c r="S104" i="31" s="1"/>
  <c r="O103" i="31"/>
  <c r="N103" i="31"/>
  <c r="M103" i="31"/>
  <c r="L103" i="31"/>
  <c r="S103" i="31" s="1"/>
  <c r="O102" i="31"/>
  <c r="N102" i="31"/>
  <c r="M102" i="31"/>
  <c r="L102" i="31"/>
  <c r="S102" i="31" s="1"/>
  <c r="O101" i="31"/>
  <c r="N101" i="31"/>
  <c r="M101" i="31"/>
  <c r="L101" i="31"/>
  <c r="S101" i="31" s="1"/>
  <c r="O100" i="31"/>
  <c r="N100" i="31"/>
  <c r="M100" i="31"/>
  <c r="L100" i="31"/>
  <c r="O99" i="31"/>
  <c r="N99" i="31"/>
  <c r="M99" i="31"/>
  <c r="L99" i="31"/>
  <c r="S99" i="31" s="1"/>
  <c r="O98" i="31"/>
  <c r="N98" i="31"/>
  <c r="M98" i="31"/>
  <c r="L98" i="31"/>
  <c r="S98" i="31" s="1"/>
  <c r="O97" i="31"/>
  <c r="N97" i="31"/>
  <c r="M97" i="31"/>
  <c r="L97" i="31"/>
  <c r="S97" i="31" s="1"/>
  <c r="O96" i="31"/>
  <c r="N96" i="31"/>
  <c r="M96" i="31"/>
  <c r="L96" i="31"/>
  <c r="O95" i="31"/>
  <c r="N95" i="31"/>
  <c r="M95" i="31"/>
  <c r="L95" i="31"/>
  <c r="S95" i="31" s="1"/>
  <c r="O94" i="31"/>
  <c r="N94" i="31"/>
  <c r="M94" i="31"/>
  <c r="L94" i="31"/>
  <c r="O93" i="31"/>
  <c r="N93" i="31"/>
  <c r="M93" i="31"/>
  <c r="L93" i="31"/>
  <c r="S93" i="31" s="1"/>
  <c r="O92" i="31"/>
  <c r="N92" i="31"/>
  <c r="M92" i="31"/>
  <c r="L92" i="31"/>
  <c r="S92" i="31" s="1"/>
  <c r="O91" i="31"/>
  <c r="N91" i="31"/>
  <c r="M91" i="31"/>
  <c r="L91" i="31"/>
  <c r="S91" i="31" s="1"/>
  <c r="O90" i="31"/>
  <c r="N90" i="31"/>
  <c r="M90" i="31"/>
  <c r="L90" i="31"/>
  <c r="S90" i="31" s="1"/>
  <c r="O89" i="31"/>
  <c r="N89" i="31"/>
  <c r="M89" i="31"/>
  <c r="L89" i="31"/>
  <c r="S89" i="31" s="1"/>
  <c r="O88" i="31"/>
  <c r="N88" i="31"/>
  <c r="M88" i="31"/>
  <c r="L88" i="31"/>
  <c r="O87" i="31"/>
  <c r="N87" i="31"/>
  <c r="M87" i="31"/>
  <c r="L87" i="31"/>
  <c r="S87" i="31" s="1"/>
  <c r="O86" i="31"/>
  <c r="N86" i="31"/>
  <c r="M86" i="31"/>
  <c r="L86" i="31"/>
  <c r="O85" i="31"/>
  <c r="N85" i="31"/>
  <c r="M85" i="31"/>
  <c r="L85" i="31"/>
  <c r="S85" i="31" s="1"/>
  <c r="O84" i="31"/>
  <c r="N84" i="31"/>
  <c r="M84" i="31"/>
  <c r="L84" i="31"/>
  <c r="O83" i="31"/>
  <c r="N83" i="31"/>
  <c r="M83" i="31"/>
  <c r="L83" i="31"/>
  <c r="S83" i="31" s="1"/>
  <c r="O82" i="31"/>
  <c r="N82" i="31"/>
  <c r="M82" i="31"/>
  <c r="L82" i="31"/>
  <c r="S82" i="31" s="1"/>
  <c r="O81" i="31"/>
  <c r="N81" i="31"/>
  <c r="M81" i="31"/>
  <c r="L81" i="31"/>
  <c r="S81" i="31" s="1"/>
  <c r="O80" i="31"/>
  <c r="N80" i="31"/>
  <c r="M80" i="31"/>
  <c r="L80" i="31"/>
  <c r="O79" i="31"/>
  <c r="N79" i="31"/>
  <c r="M79" i="31"/>
  <c r="L79" i="31"/>
  <c r="O78" i="31"/>
  <c r="N78" i="31"/>
  <c r="M78" i="31"/>
  <c r="L78" i="31"/>
  <c r="S78" i="31" s="1"/>
  <c r="O77" i="31"/>
  <c r="N77" i="31"/>
  <c r="M77" i="31"/>
  <c r="L77" i="31"/>
  <c r="S77" i="31" s="1"/>
  <c r="O76" i="31"/>
  <c r="O109" i="31" s="1"/>
  <c r="N76" i="31"/>
  <c r="N109" i="31" s="1"/>
  <c r="M76" i="31"/>
  <c r="L76" i="31"/>
  <c r="L109" i="31" s="1"/>
  <c r="O65" i="31"/>
  <c r="N65" i="31"/>
  <c r="M65" i="31"/>
  <c r="L65" i="31"/>
  <c r="R65" i="31" s="1"/>
  <c r="R64" i="31"/>
  <c r="O64" i="31"/>
  <c r="N64" i="31"/>
  <c r="M64" i="31"/>
  <c r="L64" i="31"/>
  <c r="Q64" i="31" s="1"/>
  <c r="S64" i="31" s="1"/>
  <c r="O63" i="31"/>
  <c r="N63" i="31"/>
  <c r="M63" i="31"/>
  <c r="L63" i="31"/>
  <c r="R63" i="31" s="1"/>
  <c r="O62" i="31"/>
  <c r="N62" i="31"/>
  <c r="M62" i="31"/>
  <c r="L62" i="31"/>
  <c r="Q62" i="31" s="1"/>
  <c r="R61" i="31"/>
  <c r="O61" i="31"/>
  <c r="N61" i="31"/>
  <c r="M61" i="31"/>
  <c r="L61" i="31"/>
  <c r="Q61" i="31" s="1"/>
  <c r="S61" i="31" s="1"/>
  <c r="O60" i="31"/>
  <c r="N60" i="31"/>
  <c r="M60" i="31"/>
  <c r="L60" i="31"/>
  <c r="R60" i="31" s="1"/>
  <c r="O58" i="31"/>
  <c r="N58" i="31"/>
  <c r="M58" i="31"/>
  <c r="L58" i="31"/>
  <c r="R58" i="31" s="1"/>
  <c r="O57" i="31"/>
  <c r="N57" i="31"/>
  <c r="M57" i="31"/>
  <c r="L57" i="31"/>
  <c r="Q57" i="31" s="1"/>
  <c r="R56" i="31"/>
  <c r="O56" i="31"/>
  <c r="N56" i="31"/>
  <c r="M56" i="31"/>
  <c r="L56" i="31"/>
  <c r="Q56" i="31" s="1"/>
  <c r="S56" i="31" s="1"/>
  <c r="Q55" i="31"/>
  <c r="O55" i="31"/>
  <c r="N55" i="31"/>
  <c r="M55" i="31"/>
  <c r="L55" i="31"/>
  <c r="R55" i="31" s="1"/>
  <c r="O54" i="31"/>
  <c r="N54" i="31"/>
  <c r="M54" i="31"/>
  <c r="L54" i="31"/>
  <c r="R54" i="31" s="1"/>
  <c r="O53" i="31"/>
  <c r="N53" i="31"/>
  <c r="M53" i="31"/>
  <c r="L53" i="31"/>
  <c r="Q53" i="31" s="1"/>
  <c r="R51" i="31"/>
  <c r="O51" i="31"/>
  <c r="N51" i="31"/>
  <c r="M51" i="31"/>
  <c r="L51" i="31"/>
  <c r="Q51" i="31" s="1"/>
  <c r="S51" i="31" s="1"/>
  <c r="O50" i="31"/>
  <c r="N50" i="31"/>
  <c r="M50" i="31"/>
  <c r="L50" i="31"/>
  <c r="R50" i="31" s="1"/>
  <c r="O49" i="31"/>
  <c r="N49" i="31"/>
  <c r="M49" i="31"/>
  <c r="L49" i="31"/>
  <c r="R49" i="31" s="1"/>
  <c r="O48" i="31"/>
  <c r="N48" i="31"/>
  <c r="M48" i="31"/>
  <c r="L48" i="31"/>
  <c r="Q48" i="31" s="1"/>
  <c r="R47" i="31"/>
  <c r="O47" i="31"/>
  <c r="N47" i="31"/>
  <c r="M47" i="31"/>
  <c r="L47" i="31"/>
  <c r="Q47" i="31" s="1"/>
  <c r="S47" i="31" s="1"/>
  <c r="O46" i="31"/>
  <c r="N46" i="31"/>
  <c r="M46" i="31"/>
  <c r="L46" i="31"/>
  <c r="Q46" i="31" s="1"/>
  <c r="O44" i="31"/>
  <c r="N44" i="31"/>
  <c r="M44" i="31"/>
  <c r="L44" i="31"/>
  <c r="R44" i="31" s="1"/>
  <c r="O43" i="31"/>
  <c r="N43" i="31"/>
  <c r="M43" i="31"/>
  <c r="L43" i="31"/>
  <c r="Q43" i="31" s="1"/>
  <c r="R42" i="31"/>
  <c r="O42" i="31"/>
  <c r="N42" i="31"/>
  <c r="M42" i="31"/>
  <c r="L42" i="31"/>
  <c r="Q42" i="31" s="1"/>
  <c r="S42" i="31" s="1"/>
  <c r="O41" i="31"/>
  <c r="N41" i="31"/>
  <c r="M41" i="31"/>
  <c r="L41" i="31"/>
  <c r="R41" i="31" s="1"/>
  <c r="O40" i="31"/>
  <c r="N40" i="31"/>
  <c r="M40" i="31"/>
  <c r="L40" i="31"/>
  <c r="R40" i="31" s="1"/>
  <c r="O39" i="31"/>
  <c r="N39" i="31"/>
  <c r="M39" i="31"/>
  <c r="L39" i="31"/>
  <c r="Q39" i="31" s="1"/>
  <c r="R37" i="31"/>
  <c r="O37" i="31"/>
  <c r="N37" i="31"/>
  <c r="M37" i="31"/>
  <c r="L37" i="31"/>
  <c r="Q37" i="31" s="1"/>
  <c r="S37" i="31" s="1"/>
  <c r="O36" i="31"/>
  <c r="N36" i="31"/>
  <c r="M36" i="31"/>
  <c r="L36" i="31"/>
  <c r="R36" i="31" s="1"/>
  <c r="O35" i="31"/>
  <c r="N35" i="31"/>
  <c r="M35" i="31"/>
  <c r="L35" i="31"/>
  <c r="R35" i="31" s="1"/>
  <c r="O34" i="31"/>
  <c r="N34" i="31"/>
  <c r="M34" i="31"/>
  <c r="L34" i="31"/>
  <c r="Q34" i="31" s="1"/>
  <c r="R33" i="31"/>
  <c r="O33" i="31"/>
  <c r="N33" i="31"/>
  <c r="M33" i="31"/>
  <c r="L33" i="31"/>
  <c r="Q33" i="31" s="1"/>
  <c r="S33" i="31" s="1"/>
  <c r="Q32" i="31"/>
  <c r="O32" i="31"/>
  <c r="N32" i="31"/>
  <c r="M32" i="31"/>
  <c r="L32" i="31"/>
  <c r="R32" i="31" s="1"/>
  <c r="O30" i="31"/>
  <c r="N30" i="31"/>
  <c r="M30" i="31"/>
  <c r="L30" i="31"/>
  <c r="R30" i="31" s="1"/>
  <c r="O29" i="31"/>
  <c r="N29" i="31"/>
  <c r="M29" i="31"/>
  <c r="L29" i="31"/>
  <c r="Q29" i="31" s="1"/>
  <c r="R28" i="31"/>
  <c r="O28" i="31"/>
  <c r="N28" i="31"/>
  <c r="M28" i="31"/>
  <c r="L28" i="31"/>
  <c r="Q28" i="31" s="1"/>
  <c r="S28" i="31" s="1"/>
  <c r="O27" i="31"/>
  <c r="N27" i="31"/>
  <c r="M27" i="31"/>
  <c r="L27" i="31"/>
  <c r="R27" i="31" s="1"/>
  <c r="O26" i="31"/>
  <c r="N26" i="31"/>
  <c r="M26" i="31"/>
  <c r="L26" i="31"/>
  <c r="R26" i="31" s="1"/>
  <c r="O25" i="31"/>
  <c r="N25" i="31"/>
  <c r="M25" i="31"/>
  <c r="L25" i="31"/>
  <c r="Q25" i="31" s="1"/>
  <c r="R23" i="31"/>
  <c r="O23" i="31"/>
  <c r="N23" i="31"/>
  <c r="M23" i="31"/>
  <c r="L23" i="31"/>
  <c r="Q23" i="31" s="1"/>
  <c r="S23" i="31" s="1"/>
  <c r="O22" i="31"/>
  <c r="N22" i="31"/>
  <c r="M22" i="31"/>
  <c r="L22" i="31"/>
  <c r="Q22" i="31" s="1"/>
  <c r="O21" i="31"/>
  <c r="N21" i="31"/>
  <c r="M21" i="31"/>
  <c r="L21" i="31"/>
  <c r="R21" i="31" s="1"/>
  <c r="O20" i="31"/>
  <c r="N20" i="31"/>
  <c r="M20" i="31"/>
  <c r="L20" i="31"/>
  <c r="Q20" i="31" s="1"/>
  <c r="R19" i="31"/>
  <c r="O19" i="31"/>
  <c r="N19" i="31"/>
  <c r="M19" i="31"/>
  <c r="L19" i="31"/>
  <c r="Q19" i="31" s="1"/>
  <c r="S19" i="31" s="1"/>
  <c r="Q18" i="31"/>
  <c r="O18" i="31"/>
  <c r="N18" i="31"/>
  <c r="M18" i="31"/>
  <c r="L18" i="31"/>
  <c r="R18" i="31" s="1"/>
  <c r="O16" i="31"/>
  <c r="N16" i="31"/>
  <c r="M16" i="31"/>
  <c r="L16" i="31"/>
  <c r="R16" i="31" s="1"/>
  <c r="O15" i="31"/>
  <c r="N15" i="31"/>
  <c r="M15" i="31"/>
  <c r="L15" i="31"/>
  <c r="Q15" i="31" s="1"/>
  <c r="R14" i="31"/>
  <c r="O14" i="31"/>
  <c r="N14" i="31"/>
  <c r="M14" i="31"/>
  <c r="L14" i="31"/>
  <c r="Q14" i="31" s="1"/>
  <c r="S14" i="31" s="1"/>
  <c r="O13" i="31"/>
  <c r="N13" i="31"/>
  <c r="M13" i="31"/>
  <c r="L13" i="31"/>
  <c r="R13" i="31" s="1"/>
  <c r="O12" i="31"/>
  <c r="N12" i="31"/>
  <c r="M12" i="31"/>
  <c r="L12" i="31"/>
  <c r="R12" i="31" s="1"/>
  <c r="O11" i="31"/>
  <c r="N11" i="31"/>
  <c r="M11" i="31"/>
  <c r="L11" i="31"/>
  <c r="Q11" i="31" s="1"/>
  <c r="Q127" i="30"/>
  <c r="Q134" i="30" s="1"/>
  <c r="S116" i="30"/>
  <c r="S115" i="30"/>
  <c r="S114" i="30"/>
  <c r="S113" i="30"/>
  <c r="O107" i="30"/>
  <c r="N107" i="30"/>
  <c r="M107" i="30"/>
  <c r="L107" i="30"/>
  <c r="S107" i="30" s="1"/>
  <c r="O106" i="30"/>
  <c r="N106" i="30"/>
  <c r="M106" i="30"/>
  <c r="L106" i="30"/>
  <c r="S106" i="30" s="1"/>
  <c r="O105" i="30"/>
  <c r="N105" i="30"/>
  <c r="M105" i="30"/>
  <c r="L105" i="30"/>
  <c r="S105" i="30" s="1"/>
  <c r="O104" i="30"/>
  <c r="N104" i="30"/>
  <c r="M104" i="30"/>
  <c r="L104" i="30"/>
  <c r="S103" i="30"/>
  <c r="O103" i="30"/>
  <c r="N103" i="30"/>
  <c r="M103" i="30"/>
  <c r="L103" i="30"/>
  <c r="O102" i="30"/>
  <c r="N102" i="30"/>
  <c r="M102" i="30"/>
  <c r="L102" i="30"/>
  <c r="S102" i="30" s="1"/>
  <c r="O101" i="30"/>
  <c r="N101" i="30"/>
  <c r="M101" i="30"/>
  <c r="S101" i="30" s="1"/>
  <c r="L101" i="30"/>
  <c r="O100" i="30"/>
  <c r="N100" i="30"/>
  <c r="M100" i="30"/>
  <c r="L100" i="30"/>
  <c r="O99" i="30"/>
  <c r="N99" i="30"/>
  <c r="M99" i="30"/>
  <c r="L99" i="30"/>
  <c r="S99" i="30" s="1"/>
  <c r="O98" i="30"/>
  <c r="N98" i="30"/>
  <c r="M98" i="30"/>
  <c r="L98" i="30"/>
  <c r="S98" i="30" s="1"/>
  <c r="O97" i="30"/>
  <c r="N97" i="30"/>
  <c r="M97" i="30"/>
  <c r="L97" i="30"/>
  <c r="S97" i="30" s="1"/>
  <c r="O96" i="30"/>
  <c r="N96" i="30"/>
  <c r="M96" i="30"/>
  <c r="L96" i="30"/>
  <c r="S95" i="30"/>
  <c r="O95" i="30"/>
  <c r="N95" i="30"/>
  <c r="M95" i="30"/>
  <c r="L95" i="30"/>
  <c r="O94" i="30"/>
  <c r="N94" i="30"/>
  <c r="M94" i="30"/>
  <c r="L94" i="30"/>
  <c r="O93" i="30"/>
  <c r="N93" i="30"/>
  <c r="M93" i="30"/>
  <c r="L93" i="30"/>
  <c r="S93" i="30" s="1"/>
  <c r="O92" i="30"/>
  <c r="N92" i="30"/>
  <c r="M92" i="30"/>
  <c r="L92" i="30"/>
  <c r="O91" i="30"/>
  <c r="N91" i="30"/>
  <c r="M91" i="30"/>
  <c r="L91" i="30"/>
  <c r="S91" i="30" s="1"/>
  <c r="O90" i="30"/>
  <c r="N90" i="30"/>
  <c r="M90" i="30"/>
  <c r="L90" i="30"/>
  <c r="S90" i="30" s="1"/>
  <c r="O89" i="30"/>
  <c r="N89" i="30"/>
  <c r="M89" i="30"/>
  <c r="L89" i="30"/>
  <c r="S89" i="30" s="1"/>
  <c r="O88" i="30"/>
  <c r="N88" i="30"/>
  <c r="M88" i="30"/>
  <c r="L88" i="30"/>
  <c r="S87" i="30"/>
  <c r="O87" i="30"/>
  <c r="N87" i="30"/>
  <c r="M87" i="30"/>
  <c r="L87" i="30"/>
  <c r="S86" i="30"/>
  <c r="O86" i="30"/>
  <c r="N86" i="30"/>
  <c r="M86" i="30"/>
  <c r="L86" i="30"/>
  <c r="O85" i="30"/>
  <c r="N85" i="30"/>
  <c r="M85" i="30"/>
  <c r="L85" i="30"/>
  <c r="S85" i="30" s="1"/>
  <c r="O84" i="30"/>
  <c r="N84" i="30"/>
  <c r="M84" i="30"/>
  <c r="L84" i="30"/>
  <c r="O83" i="30"/>
  <c r="N83" i="30"/>
  <c r="M83" i="30"/>
  <c r="L83" i="30"/>
  <c r="S83" i="30" s="1"/>
  <c r="O82" i="30"/>
  <c r="N82" i="30"/>
  <c r="M82" i="30"/>
  <c r="L82" i="30"/>
  <c r="O81" i="30"/>
  <c r="N81" i="30"/>
  <c r="M81" i="30"/>
  <c r="S81" i="30" s="1"/>
  <c r="L81" i="30"/>
  <c r="O80" i="30"/>
  <c r="N80" i="30"/>
  <c r="M80" i="30"/>
  <c r="L80" i="30"/>
  <c r="S80" i="30" s="1"/>
  <c r="O79" i="30"/>
  <c r="N79" i="30"/>
  <c r="M79" i="30"/>
  <c r="L79" i="30"/>
  <c r="O78" i="30"/>
  <c r="N78" i="30"/>
  <c r="M78" i="30"/>
  <c r="L78" i="30"/>
  <c r="S78" i="30" s="1"/>
  <c r="O77" i="30"/>
  <c r="N77" i="30"/>
  <c r="M77" i="30"/>
  <c r="L77" i="30"/>
  <c r="S77" i="30" s="1"/>
  <c r="O76" i="30"/>
  <c r="N76" i="30"/>
  <c r="M76" i="30"/>
  <c r="L76" i="30"/>
  <c r="Q65" i="30"/>
  <c r="O65" i="30"/>
  <c r="N65" i="30"/>
  <c r="M65" i="30"/>
  <c r="L65" i="30"/>
  <c r="R65" i="30" s="1"/>
  <c r="R64" i="30"/>
  <c r="O64" i="30"/>
  <c r="N64" i="30"/>
  <c r="Q64" i="30" s="1"/>
  <c r="M64" i="30"/>
  <c r="L64" i="30"/>
  <c r="Q63" i="30"/>
  <c r="O63" i="30"/>
  <c r="N63" i="30"/>
  <c r="M63" i="30"/>
  <c r="L63" i="30"/>
  <c r="R63" i="30" s="1"/>
  <c r="O62" i="30"/>
  <c r="N62" i="30"/>
  <c r="M62" i="30"/>
  <c r="L62" i="30"/>
  <c r="Q62" i="30" s="1"/>
  <c r="O61" i="30"/>
  <c r="N61" i="30"/>
  <c r="M61" i="30"/>
  <c r="L61" i="30"/>
  <c r="R61" i="30" s="1"/>
  <c r="O60" i="30"/>
  <c r="N60" i="30"/>
  <c r="R60" i="30" s="1"/>
  <c r="M60" i="30"/>
  <c r="L60" i="30"/>
  <c r="Q60" i="30" s="1"/>
  <c r="O58" i="30"/>
  <c r="N58" i="30"/>
  <c r="M58" i="30"/>
  <c r="L58" i="30"/>
  <c r="R58" i="30" s="1"/>
  <c r="Q57" i="30"/>
  <c r="S57" i="30" s="1"/>
  <c r="O57" i="30"/>
  <c r="N57" i="30"/>
  <c r="M57" i="30"/>
  <c r="L57" i="30"/>
  <c r="R57" i="30" s="1"/>
  <c r="Q56" i="30"/>
  <c r="O56" i="30"/>
  <c r="N56" i="30"/>
  <c r="M56" i="30"/>
  <c r="L56" i="30"/>
  <c r="R56" i="30" s="1"/>
  <c r="R55" i="30"/>
  <c r="O55" i="30"/>
  <c r="N55" i="30"/>
  <c r="Q55" i="30" s="1"/>
  <c r="S55" i="30" s="1"/>
  <c r="M55" i="30"/>
  <c r="L55" i="30"/>
  <c r="R54" i="30"/>
  <c r="Q54" i="30"/>
  <c r="S54" i="30" s="1"/>
  <c r="O54" i="30"/>
  <c r="N54" i="30"/>
  <c r="M54" i="30"/>
  <c r="L54" i="30"/>
  <c r="O53" i="30"/>
  <c r="N53" i="30"/>
  <c r="M53" i="30"/>
  <c r="L53" i="30"/>
  <c r="Q53" i="30" s="1"/>
  <c r="O51" i="30"/>
  <c r="N51" i="30"/>
  <c r="M51" i="30"/>
  <c r="L51" i="30"/>
  <c r="R51" i="30" s="1"/>
  <c r="O50" i="30"/>
  <c r="N50" i="30"/>
  <c r="R50" i="30" s="1"/>
  <c r="M50" i="30"/>
  <c r="L50" i="30"/>
  <c r="Q50" i="30" s="1"/>
  <c r="S50" i="30" s="1"/>
  <c r="O49" i="30"/>
  <c r="N49" i="30"/>
  <c r="M49" i="30"/>
  <c r="L49" i="30"/>
  <c r="R49" i="30" s="1"/>
  <c r="Q48" i="30"/>
  <c r="O48" i="30"/>
  <c r="N48" i="30"/>
  <c r="M48" i="30"/>
  <c r="L48" i="30"/>
  <c r="R48" i="30" s="1"/>
  <c r="Q47" i="30"/>
  <c r="O47" i="30"/>
  <c r="N47" i="30"/>
  <c r="M47" i="30"/>
  <c r="L47" i="30"/>
  <c r="R47" i="30" s="1"/>
  <c r="R46" i="30"/>
  <c r="O46" i="30"/>
  <c r="N46" i="30"/>
  <c r="Q46" i="30" s="1"/>
  <c r="S46" i="30" s="1"/>
  <c r="M46" i="30"/>
  <c r="L46" i="30"/>
  <c r="R44" i="30"/>
  <c r="Q44" i="30"/>
  <c r="O44" i="30"/>
  <c r="N44" i="30"/>
  <c r="M44" i="30"/>
  <c r="L44" i="30"/>
  <c r="O43" i="30"/>
  <c r="N43" i="30"/>
  <c r="M43" i="30"/>
  <c r="L43" i="30"/>
  <c r="Q43" i="30" s="1"/>
  <c r="O42" i="30"/>
  <c r="N42" i="30"/>
  <c r="M42" i="30"/>
  <c r="L42" i="30"/>
  <c r="R42" i="30" s="1"/>
  <c r="O41" i="30"/>
  <c r="N41" i="30"/>
  <c r="M41" i="30"/>
  <c r="L41" i="30"/>
  <c r="R41" i="30" s="1"/>
  <c r="O40" i="30"/>
  <c r="N40" i="30"/>
  <c r="M40" i="30"/>
  <c r="L40" i="30"/>
  <c r="R40" i="30" s="1"/>
  <c r="Q39" i="30"/>
  <c r="S39" i="30" s="1"/>
  <c r="O39" i="30"/>
  <c r="N39" i="30"/>
  <c r="M39" i="30"/>
  <c r="L39" i="30"/>
  <c r="R39" i="30" s="1"/>
  <c r="Q37" i="30"/>
  <c r="O37" i="30"/>
  <c r="N37" i="30"/>
  <c r="M37" i="30"/>
  <c r="L37" i="30"/>
  <c r="R37" i="30" s="1"/>
  <c r="R36" i="30"/>
  <c r="O36" i="30"/>
  <c r="N36" i="30"/>
  <c r="Q36" i="30" s="1"/>
  <c r="M36" i="30"/>
  <c r="L36" i="30"/>
  <c r="R35" i="30"/>
  <c r="Q35" i="30"/>
  <c r="O35" i="30"/>
  <c r="N35" i="30"/>
  <c r="M35" i="30"/>
  <c r="L35" i="30"/>
  <c r="O34" i="30"/>
  <c r="N34" i="30"/>
  <c r="M34" i="30"/>
  <c r="L34" i="30"/>
  <c r="R34" i="30" s="1"/>
  <c r="O33" i="30"/>
  <c r="N33" i="30"/>
  <c r="M33" i="30"/>
  <c r="L33" i="30"/>
  <c r="R33" i="30" s="1"/>
  <c r="O32" i="30"/>
  <c r="N32" i="30"/>
  <c r="M32" i="30"/>
  <c r="L32" i="30"/>
  <c r="R32" i="30" s="1"/>
  <c r="O30" i="30"/>
  <c r="N30" i="30"/>
  <c r="M30" i="30"/>
  <c r="L30" i="30"/>
  <c r="R30" i="30" s="1"/>
  <c r="Q29" i="30"/>
  <c r="S29" i="30" s="1"/>
  <c r="O29" i="30"/>
  <c r="N29" i="30"/>
  <c r="M29" i="30"/>
  <c r="L29" i="30"/>
  <c r="R29" i="30" s="1"/>
  <c r="R28" i="30"/>
  <c r="Q28" i="30"/>
  <c r="S28" i="30" s="1"/>
  <c r="O28" i="30"/>
  <c r="N28" i="30"/>
  <c r="M28" i="30"/>
  <c r="L28" i="30"/>
  <c r="R27" i="30"/>
  <c r="O27" i="30"/>
  <c r="N27" i="30"/>
  <c r="Q27" i="30" s="1"/>
  <c r="S27" i="30" s="1"/>
  <c r="M27" i="30"/>
  <c r="L27" i="30"/>
  <c r="R26" i="30"/>
  <c r="Q26" i="30"/>
  <c r="O26" i="30"/>
  <c r="N26" i="30"/>
  <c r="M26" i="30"/>
  <c r="L26" i="30"/>
  <c r="O25" i="30"/>
  <c r="N25" i="30"/>
  <c r="M25" i="30"/>
  <c r="L25" i="30"/>
  <c r="R25" i="30" s="1"/>
  <c r="O23" i="30"/>
  <c r="N23" i="30"/>
  <c r="M23" i="30"/>
  <c r="L23" i="30"/>
  <c r="R23" i="30" s="1"/>
  <c r="O22" i="30"/>
  <c r="N22" i="30"/>
  <c r="M22" i="30"/>
  <c r="L22" i="30"/>
  <c r="R22" i="30" s="1"/>
  <c r="O21" i="30"/>
  <c r="N21" i="30"/>
  <c r="M21" i="30"/>
  <c r="L21" i="30"/>
  <c r="R21" i="30" s="1"/>
  <c r="Q20" i="30"/>
  <c r="O20" i="30"/>
  <c r="N20" i="30"/>
  <c r="M20" i="30"/>
  <c r="L20" i="30"/>
  <c r="R20" i="30" s="1"/>
  <c r="R19" i="30"/>
  <c r="Q19" i="30"/>
  <c r="S19" i="30" s="1"/>
  <c r="O19" i="30"/>
  <c r="N19" i="30"/>
  <c r="M19" i="30"/>
  <c r="L19" i="30"/>
  <c r="R18" i="30"/>
  <c r="O18" i="30"/>
  <c r="N18" i="30"/>
  <c r="Q18" i="30" s="1"/>
  <c r="S18" i="30" s="1"/>
  <c r="M18" i="30"/>
  <c r="L18" i="30"/>
  <c r="R16" i="30"/>
  <c r="Q16" i="30"/>
  <c r="O16" i="30"/>
  <c r="N16" i="30"/>
  <c r="M16" i="30"/>
  <c r="L16" i="30"/>
  <c r="O15" i="30"/>
  <c r="N15" i="30"/>
  <c r="M15" i="30"/>
  <c r="L15" i="30"/>
  <c r="R15" i="30" s="1"/>
  <c r="O14" i="30"/>
  <c r="N14" i="30"/>
  <c r="M14" i="30"/>
  <c r="L14" i="30"/>
  <c r="R14" i="30" s="1"/>
  <c r="O13" i="30"/>
  <c r="N13" i="30"/>
  <c r="M13" i="30"/>
  <c r="L13" i="30"/>
  <c r="R13" i="30" s="1"/>
  <c r="O12" i="30"/>
  <c r="N12" i="30"/>
  <c r="M12" i="30"/>
  <c r="L12" i="30"/>
  <c r="R12" i="30" s="1"/>
  <c r="O11" i="30"/>
  <c r="N11" i="30"/>
  <c r="M11" i="30"/>
  <c r="L11" i="30"/>
  <c r="R11" i="30" s="1"/>
  <c r="Q127" i="29"/>
  <c r="Q134" i="29" s="1"/>
  <c r="S116" i="29"/>
  <c r="S115" i="29"/>
  <c r="S114" i="29"/>
  <c r="S113" i="29"/>
  <c r="O107" i="29"/>
  <c r="N107" i="29"/>
  <c r="M107" i="29"/>
  <c r="L107" i="29"/>
  <c r="S107" i="29" s="1"/>
  <c r="O106" i="29"/>
  <c r="N106" i="29"/>
  <c r="M106" i="29"/>
  <c r="L106" i="29"/>
  <c r="O105" i="29"/>
  <c r="N105" i="29"/>
  <c r="M105" i="29"/>
  <c r="L105" i="29"/>
  <c r="S105" i="29" s="1"/>
  <c r="O104" i="29"/>
  <c r="N104" i="29"/>
  <c r="M104" i="29"/>
  <c r="L104" i="29"/>
  <c r="S104" i="29" s="1"/>
  <c r="O103" i="29"/>
  <c r="N103" i="29"/>
  <c r="M103" i="29"/>
  <c r="S103" i="29" s="1"/>
  <c r="L103" i="29"/>
  <c r="O102" i="29"/>
  <c r="N102" i="29"/>
  <c r="M102" i="29"/>
  <c r="L102" i="29"/>
  <c r="S102" i="29" s="1"/>
  <c r="S101" i="29"/>
  <c r="O101" i="29"/>
  <c r="N101" i="29"/>
  <c r="M101" i="29"/>
  <c r="L101" i="29"/>
  <c r="O100" i="29"/>
  <c r="N100" i="29"/>
  <c r="M100" i="29"/>
  <c r="L100" i="29"/>
  <c r="O99" i="29"/>
  <c r="N99" i="29"/>
  <c r="M99" i="29"/>
  <c r="L99" i="29"/>
  <c r="S99" i="29" s="1"/>
  <c r="S98" i="29"/>
  <c r="O98" i="29"/>
  <c r="N98" i="29"/>
  <c r="M98" i="29"/>
  <c r="L98" i="29"/>
  <c r="O97" i="29"/>
  <c r="N97" i="29"/>
  <c r="M97" i="29"/>
  <c r="L97" i="29"/>
  <c r="S97" i="29" s="1"/>
  <c r="O96" i="29"/>
  <c r="N96" i="29"/>
  <c r="M96" i="29"/>
  <c r="L96" i="29"/>
  <c r="O95" i="29"/>
  <c r="N95" i="29"/>
  <c r="M95" i="29"/>
  <c r="S95" i="29" s="1"/>
  <c r="L95" i="29"/>
  <c r="O94" i="29"/>
  <c r="N94" i="29"/>
  <c r="M94" i="29"/>
  <c r="L94" i="29"/>
  <c r="S93" i="29"/>
  <c r="O93" i="29"/>
  <c r="N93" i="29"/>
  <c r="M93" i="29"/>
  <c r="L93" i="29"/>
  <c r="O92" i="29"/>
  <c r="N92" i="29"/>
  <c r="M92" i="29"/>
  <c r="L92" i="29"/>
  <c r="S92" i="29" s="1"/>
  <c r="O91" i="29"/>
  <c r="N91" i="29"/>
  <c r="M91" i="29"/>
  <c r="L91" i="29"/>
  <c r="S91" i="29" s="1"/>
  <c r="O90" i="29"/>
  <c r="N90" i="29"/>
  <c r="M90" i="29"/>
  <c r="L90" i="29"/>
  <c r="S90" i="29" s="1"/>
  <c r="O89" i="29"/>
  <c r="N89" i="29"/>
  <c r="M89" i="29"/>
  <c r="L89" i="29"/>
  <c r="S89" i="29" s="1"/>
  <c r="O88" i="29"/>
  <c r="N88" i="29"/>
  <c r="M88" i="29"/>
  <c r="L88" i="29"/>
  <c r="O87" i="29"/>
  <c r="N87" i="29"/>
  <c r="M87" i="29"/>
  <c r="L87" i="29"/>
  <c r="O86" i="29"/>
  <c r="N86" i="29"/>
  <c r="M86" i="29"/>
  <c r="L86" i="29"/>
  <c r="S86" i="29" s="1"/>
  <c r="S85" i="29"/>
  <c r="O85" i="29"/>
  <c r="N85" i="29"/>
  <c r="M85" i="29"/>
  <c r="L85" i="29"/>
  <c r="O84" i="29"/>
  <c r="N84" i="29"/>
  <c r="M84" i="29"/>
  <c r="L84" i="29"/>
  <c r="O83" i="29"/>
  <c r="N83" i="29"/>
  <c r="M83" i="29"/>
  <c r="L83" i="29"/>
  <c r="S83" i="29" s="1"/>
  <c r="O82" i="29"/>
  <c r="N82" i="29"/>
  <c r="M82" i="29"/>
  <c r="L82" i="29"/>
  <c r="S82" i="29" s="1"/>
  <c r="O81" i="29"/>
  <c r="N81" i="29"/>
  <c r="M81" i="29"/>
  <c r="L81" i="29"/>
  <c r="S81" i="29" s="1"/>
  <c r="O80" i="29"/>
  <c r="N80" i="29"/>
  <c r="M80" i="29"/>
  <c r="L80" i="29"/>
  <c r="O79" i="29"/>
  <c r="N79" i="29"/>
  <c r="M79" i="29"/>
  <c r="L79" i="29"/>
  <c r="O78" i="29"/>
  <c r="N78" i="29"/>
  <c r="M78" i="29"/>
  <c r="L78" i="29"/>
  <c r="S78" i="29" s="1"/>
  <c r="S77" i="29"/>
  <c r="O77" i="29"/>
  <c r="N77" i="29"/>
  <c r="M77" i="29"/>
  <c r="L77" i="29"/>
  <c r="O76" i="29"/>
  <c r="N76" i="29"/>
  <c r="M76" i="29"/>
  <c r="L76" i="29"/>
  <c r="Q65" i="29"/>
  <c r="O65" i="29"/>
  <c r="N65" i="29"/>
  <c r="M65" i="29"/>
  <c r="L65" i="29"/>
  <c r="R65" i="29" s="1"/>
  <c r="O64" i="29"/>
  <c r="N64" i="29"/>
  <c r="M64" i="29"/>
  <c r="L64" i="29"/>
  <c r="R64" i="29" s="1"/>
  <c r="O63" i="29"/>
  <c r="N63" i="29"/>
  <c r="M63" i="29"/>
  <c r="L63" i="29"/>
  <c r="R63" i="29" s="1"/>
  <c r="R62" i="29"/>
  <c r="O62" i="29"/>
  <c r="N62" i="29"/>
  <c r="M62" i="29"/>
  <c r="L62" i="29"/>
  <c r="Q62" i="29" s="1"/>
  <c r="S62" i="29" s="1"/>
  <c r="O61" i="29"/>
  <c r="N61" i="29"/>
  <c r="M61" i="29"/>
  <c r="L61" i="29"/>
  <c r="R61" i="29" s="1"/>
  <c r="R60" i="29"/>
  <c r="Q60" i="29"/>
  <c r="S60" i="29" s="1"/>
  <c r="O60" i="29"/>
  <c r="N60" i="29"/>
  <c r="M60" i="29"/>
  <c r="L60" i="29"/>
  <c r="Q58" i="29"/>
  <c r="O58" i="29"/>
  <c r="N58" i="29"/>
  <c r="M58" i="29"/>
  <c r="L58" i="29"/>
  <c r="R58" i="29" s="1"/>
  <c r="R57" i="29"/>
  <c r="O57" i="29"/>
  <c r="N57" i="29"/>
  <c r="Q57" i="29" s="1"/>
  <c r="S57" i="29" s="1"/>
  <c r="M57" i="29"/>
  <c r="L57" i="29"/>
  <c r="Q56" i="29"/>
  <c r="S56" i="29" s="1"/>
  <c r="O56" i="29"/>
  <c r="N56" i="29"/>
  <c r="M56" i="29"/>
  <c r="L56" i="29"/>
  <c r="R56" i="29" s="1"/>
  <c r="O55" i="29"/>
  <c r="N55" i="29"/>
  <c r="M55" i="29"/>
  <c r="L55" i="29"/>
  <c r="R55" i="29" s="1"/>
  <c r="O54" i="29"/>
  <c r="N54" i="29"/>
  <c r="M54" i="29"/>
  <c r="L54" i="29"/>
  <c r="R54" i="29" s="1"/>
  <c r="R53" i="29"/>
  <c r="O53" i="29"/>
  <c r="N53" i="29"/>
  <c r="M53" i="29"/>
  <c r="L53" i="29"/>
  <c r="Q53" i="29" s="1"/>
  <c r="S53" i="29" s="1"/>
  <c r="O51" i="29"/>
  <c r="N51" i="29"/>
  <c r="M51" i="29"/>
  <c r="L51" i="29"/>
  <c r="R51" i="29" s="1"/>
  <c r="R50" i="29"/>
  <c r="Q50" i="29"/>
  <c r="O50" i="29"/>
  <c r="N50" i="29"/>
  <c r="M50" i="29"/>
  <c r="L50" i="29"/>
  <c r="Q49" i="29"/>
  <c r="O49" i="29"/>
  <c r="N49" i="29"/>
  <c r="M49" i="29"/>
  <c r="L49" i="29"/>
  <c r="R49" i="29" s="1"/>
  <c r="R48" i="29"/>
  <c r="O48" i="29"/>
  <c r="N48" i="29"/>
  <c r="Q48" i="29" s="1"/>
  <c r="S48" i="29" s="1"/>
  <c r="M48" i="29"/>
  <c r="L48" i="29"/>
  <c r="Q47" i="29"/>
  <c r="S47" i="29" s="1"/>
  <c r="O47" i="29"/>
  <c r="N47" i="29"/>
  <c r="M47" i="29"/>
  <c r="L47" i="29"/>
  <c r="R47" i="29" s="1"/>
  <c r="O46" i="29"/>
  <c r="N46" i="29"/>
  <c r="M46" i="29"/>
  <c r="L46" i="29"/>
  <c r="R46" i="29" s="1"/>
  <c r="O44" i="29"/>
  <c r="N44" i="29"/>
  <c r="M44" i="29"/>
  <c r="L44" i="29"/>
  <c r="R44" i="29" s="1"/>
  <c r="R43" i="29"/>
  <c r="O43" i="29"/>
  <c r="N43" i="29"/>
  <c r="M43" i="29"/>
  <c r="L43" i="29"/>
  <c r="Q43" i="29" s="1"/>
  <c r="S43" i="29" s="1"/>
  <c r="O42" i="29"/>
  <c r="N42" i="29"/>
  <c r="M42" i="29"/>
  <c r="L42" i="29"/>
  <c r="R42" i="29" s="1"/>
  <c r="R41" i="29"/>
  <c r="Q41" i="29"/>
  <c r="S41" i="29" s="1"/>
  <c r="O41" i="29"/>
  <c r="N41" i="29"/>
  <c r="M41" i="29"/>
  <c r="L41" i="29"/>
  <c r="Q40" i="29"/>
  <c r="O40" i="29"/>
  <c r="N40" i="29"/>
  <c r="M40" i="29"/>
  <c r="L40" i="29"/>
  <c r="R40" i="29" s="1"/>
  <c r="R39" i="29"/>
  <c r="O39" i="29"/>
  <c r="N39" i="29"/>
  <c r="Q39" i="29" s="1"/>
  <c r="S39" i="29" s="1"/>
  <c r="M39" i="29"/>
  <c r="L39" i="29"/>
  <c r="Q37" i="29"/>
  <c r="O37" i="29"/>
  <c r="N37" i="29"/>
  <c r="M37" i="29"/>
  <c r="L37" i="29"/>
  <c r="R37" i="29" s="1"/>
  <c r="O36" i="29"/>
  <c r="N36" i="29"/>
  <c r="M36" i="29"/>
  <c r="L36" i="29"/>
  <c r="R36" i="29" s="1"/>
  <c r="O35" i="29"/>
  <c r="N35" i="29"/>
  <c r="M35" i="29"/>
  <c r="L35" i="29"/>
  <c r="R35" i="29" s="1"/>
  <c r="R34" i="29"/>
  <c r="O34" i="29"/>
  <c r="N34" i="29"/>
  <c r="M34" i="29"/>
  <c r="L34" i="29"/>
  <c r="Q34" i="29" s="1"/>
  <c r="S34" i="29" s="1"/>
  <c r="O33" i="29"/>
  <c r="N33" i="29"/>
  <c r="M33" i="29"/>
  <c r="L33" i="29"/>
  <c r="R33" i="29" s="1"/>
  <c r="R32" i="29"/>
  <c r="Q32" i="29"/>
  <c r="S32" i="29" s="1"/>
  <c r="O32" i="29"/>
  <c r="N32" i="29"/>
  <c r="M32" i="29"/>
  <c r="L32" i="29"/>
  <c r="Q30" i="29"/>
  <c r="S30" i="29" s="1"/>
  <c r="O30" i="29"/>
  <c r="N30" i="29"/>
  <c r="M30" i="29"/>
  <c r="L30" i="29"/>
  <c r="R30" i="29" s="1"/>
  <c r="R29" i="29"/>
  <c r="O29" i="29"/>
  <c r="N29" i="29"/>
  <c r="Q29" i="29" s="1"/>
  <c r="S29" i="29" s="1"/>
  <c r="M29" i="29"/>
  <c r="L29" i="29"/>
  <c r="Q28" i="29"/>
  <c r="O28" i="29"/>
  <c r="N28" i="29"/>
  <c r="M28" i="29"/>
  <c r="L28" i="29"/>
  <c r="R28" i="29" s="1"/>
  <c r="O27" i="29"/>
  <c r="N27" i="29"/>
  <c r="M27" i="29"/>
  <c r="L27" i="29"/>
  <c r="R27" i="29" s="1"/>
  <c r="O26" i="29"/>
  <c r="N26" i="29"/>
  <c r="M26" i="29"/>
  <c r="L26" i="29"/>
  <c r="R26" i="29" s="1"/>
  <c r="R25" i="29"/>
  <c r="O25" i="29"/>
  <c r="N25" i="29"/>
  <c r="M25" i="29"/>
  <c r="L25" i="29"/>
  <c r="Q25" i="29" s="1"/>
  <c r="S25" i="29" s="1"/>
  <c r="O23" i="29"/>
  <c r="N23" i="29"/>
  <c r="M23" i="29"/>
  <c r="L23" i="29"/>
  <c r="R23" i="29" s="1"/>
  <c r="R22" i="29"/>
  <c r="Q22" i="29"/>
  <c r="S22" i="29" s="1"/>
  <c r="O22" i="29"/>
  <c r="N22" i="29"/>
  <c r="M22" i="29"/>
  <c r="L22" i="29"/>
  <c r="Q21" i="29"/>
  <c r="S21" i="29" s="1"/>
  <c r="O21" i="29"/>
  <c r="N21" i="29"/>
  <c r="M21" i="29"/>
  <c r="L21" i="29"/>
  <c r="R21" i="29" s="1"/>
  <c r="R20" i="29"/>
  <c r="O20" i="29"/>
  <c r="N20" i="29"/>
  <c r="Q20" i="29" s="1"/>
  <c r="S20" i="29" s="1"/>
  <c r="M20" i="29"/>
  <c r="L20" i="29"/>
  <c r="O19" i="29"/>
  <c r="N19" i="29"/>
  <c r="Q19" i="29" s="1"/>
  <c r="M19" i="29"/>
  <c r="L19" i="29"/>
  <c r="R19" i="29" s="1"/>
  <c r="O18" i="29"/>
  <c r="N18" i="29"/>
  <c r="M18" i="29"/>
  <c r="L18" i="29"/>
  <c r="R18" i="29" s="1"/>
  <c r="O16" i="29"/>
  <c r="N16" i="29"/>
  <c r="M16" i="29"/>
  <c r="L16" i="29"/>
  <c r="R16" i="29" s="1"/>
  <c r="R15" i="29"/>
  <c r="O15" i="29"/>
  <c r="N15" i="29"/>
  <c r="M15" i="29"/>
  <c r="L15" i="29"/>
  <c r="Q15" i="29" s="1"/>
  <c r="S15" i="29" s="1"/>
  <c r="O14" i="29"/>
  <c r="N14" i="29"/>
  <c r="M14" i="29"/>
  <c r="L14" i="29"/>
  <c r="R14" i="29" s="1"/>
  <c r="R13" i="29"/>
  <c r="Q13" i="29"/>
  <c r="S13" i="29" s="1"/>
  <c r="O13" i="29"/>
  <c r="N13" i="29"/>
  <c r="M13" i="29"/>
  <c r="L13" i="29"/>
  <c r="Q12" i="29"/>
  <c r="O12" i="29"/>
  <c r="N12" i="29"/>
  <c r="M12" i="29"/>
  <c r="L12" i="29"/>
  <c r="R12" i="29" s="1"/>
  <c r="R11" i="29"/>
  <c r="O11" i="29"/>
  <c r="N11" i="29"/>
  <c r="Q11" i="29" s="1"/>
  <c r="M11" i="29"/>
  <c r="L11" i="29"/>
  <c r="Q127" i="28"/>
  <c r="Q134" i="28" s="1"/>
  <c r="S116" i="28"/>
  <c r="S115" i="28"/>
  <c r="S114" i="28"/>
  <c r="S113" i="28"/>
  <c r="S107" i="28"/>
  <c r="O107" i="28"/>
  <c r="N107" i="28"/>
  <c r="M107" i="28"/>
  <c r="L107" i="28"/>
  <c r="O106" i="28"/>
  <c r="N106" i="28"/>
  <c r="M106" i="28"/>
  <c r="L106" i="28"/>
  <c r="O105" i="28"/>
  <c r="N105" i="28"/>
  <c r="M105" i="28"/>
  <c r="L105" i="28"/>
  <c r="S105" i="28" s="1"/>
  <c r="O104" i="28"/>
  <c r="N104" i="28"/>
  <c r="M104" i="28"/>
  <c r="L104" i="28"/>
  <c r="O103" i="28"/>
  <c r="N103" i="28"/>
  <c r="M103" i="28"/>
  <c r="L103" i="28"/>
  <c r="S103" i="28" s="1"/>
  <c r="O102" i="28"/>
  <c r="N102" i="28"/>
  <c r="M102" i="28"/>
  <c r="L102" i="28"/>
  <c r="S102" i="28" s="1"/>
  <c r="O101" i="28"/>
  <c r="N101" i="28"/>
  <c r="M101" i="28"/>
  <c r="L101" i="28"/>
  <c r="S101" i="28" s="1"/>
  <c r="O100" i="28"/>
  <c r="N100" i="28"/>
  <c r="M100" i="28"/>
  <c r="L100" i="28"/>
  <c r="O99" i="28"/>
  <c r="N99" i="28"/>
  <c r="M99" i="28"/>
  <c r="L99" i="28"/>
  <c r="S99" i="28" s="1"/>
  <c r="O98" i="28"/>
  <c r="N98" i="28"/>
  <c r="M98" i="28"/>
  <c r="L98" i="28"/>
  <c r="O97" i="28"/>
  <c r="N97" i="28"/>
  <c r="M97" i="28"/>
  <c r="L97" i="28"/>
  <c r="O96" i="28"/>
  <c r="N96" i="28"/>
  <c r="M96" i="28"/>
  <c r="L96" i="28"/>
  <c r="O95" i="28"/>
  <c r="N95" i="28"/>
  <c r="M95" i="28"/>
  <c r="L95" i="28"/>
  <c r="O94" i="28"/>
  <c r="N94" i="28"/>
  <c r="M94" i="28"/>
  <c r="L94" i="28"/>
  <c r="O93" i="28"/>
  <c r="N93" i="28"/>
  <c r="M93" i="28"/>
  <c r="L93" i="28"/>
  <c r="O92" i="28"/>
  <c r="N92" i="28"/>
  <c r="M92" i="28"/>
  <c r="L92" i="28"/>
  <c r="O91" i="28"/>
  <c r="N91" i="28"/>
  <c r="M91" i="28"/>
  <c r="L91" i="28"/>
  <c r="S91" i="28" s="1"/>
  <c r="O90" i="28"/>
  <c r="N90" i="28"/>
  <c r="M90" i="28"/>
  <c r="L90" i="28"/>
  <c r="O89" i="28"/>
  <c r="N89" i="28"/>
  <c r="M89" i="28"/>
  <c r="L89" i="28"/>
  <c r="S89" i="28" s="1"/>
  <c r="O88" i="28"/>
  <c r="N88" i="28"/>
  <c r="M88" i="28"/>
  <c r="L88" i="28"/>
  <c r="O87" i="28"/>
  <c r="N87" i="28"/>
  <c r="M87" i="28"/>
  <c r="L87" i="28"/>
  <c r="S87" i="28" s="1"/>
  <c r="O86" i="28"/>
  <c r="N86" i="28"/>
  <c r="M86" i="28"/>
  <c r="L86" i="28"/>
  <c r="O85" i="28"/>
  <c r="N85" i="28"/>
  <c r="M85" i="28"/>
  <c r="L85" i="28"/>
  <c r="S85" i="28" s="1"/>
  <c r="O84" i="28"/>
  <c r="N84" i="28"/>
  <c r="M84" i="28"/>
  <c r="L84" i="28"/>
  <c r="O83" i="28"/>
  <c r="N83" i="28"/>
  <c r="M83" i="28"/>
  <c r="L83" i="28"/>
  <c r="S83" i="28" s="1"/>
  <c r="O82" i="28"/>
  <c r="N82" i="28"/>
  <c r="M82" i="28"/>
  <c r="L82" i="28"/>
  <c r="O81" i="28"/>
  <c r="N81" i="28"/>
  <c r="M81" i="28"/>
  <c r="L81" i="28"/>
  <c r="O80" i="28"/>
  <c r="N80" i="28"/>
  <c r="M80" i="28"/>
  <c r="L80" i="28"/>
  <c r="O79" i="28"/>
  <c r="N79" i="28"/>
  <c r="M79" i="28"/>
  <c r="L79" i="28"/>
  <c r="O78" i="28"/>
  <c r="N78" i="28"/>
  <c r="M78" i="28"/>
  <c r="L78" i="28"/>
  <c r="O77" i="28"/>
  <c r="N77" i="28"/>
  <c r="M77" i="28"/>
  <c r="L77" i="28"/>
  <c r="S76" i="28"/>
  <c r="O76" i="28"/>
  <c r="N76" i="28"/>
  <c r="M76" i="28"/>
  <c r="L76" i="28"/>
  <c r="O65" i="28"/>
  <c r="N65" i="28"/>
  <c r="M65" i="28"/>
  <c r="L65" i="28"/>
  <c r="R65" i="28" s="1"/>
  <c r="O64" i="28"/>
  <c r="N64" i="28"/>
  <c r="M64" i="28"/>
  <c r="L64" i="28"/>
  <c r="R64" i="28" s="1"/>
  <c r="R63" i="28"/>
  <c r="O63" i="28"/>
  <c r="N63" i="28"/>
  <c r="M63" i="28"/>
  <c r="L63" i="28"/>
  <c r="Q63" i="28" s="1"/>
  <c r="Q62" i="28"/>
  <c r="O62" i="28"/>
  <c r="N62" i="28"/>
  <c r="M62" i="28"/>
  <c r="L62" i="28"/>
  <c r="R62" i="28" s="1"/>
  <c r="O61" i="28"/>
  <c r="N61" i="28"/>
  <c r="M61" i="28"/>
  <c r="L61" i="28"/>
  <c r="R61" i="28" s="1"/>
  <c r="O60" i="28"/>
  <c r="N60" i="28"/>
  <c r="M60" i="28"/>
  <c r="L60" i="28"/>
  <c r="R60" i="28" s="1"/>
  <c r="O58" i="28"/>
  <c r="N58" i="28"/>
  <c r="R58" i="28" s="1"/>
  <c r="M58" i="28"/>
  <c r="L58" i="28"/>
  <c r="Q58" i="28" s="1"/>
  <c r="O57" i="28"/>
  <c r="N57" i="28"/>
  <c r="M57" i="28"/>
  <c r="L57" i="28"/>
  <c r="R57" i="28" s="1"/>
  <c r="O56" i="28"/>
  <c r="N56" i="28"/>
  <c r="M56" i="28"/>
  <c r="L56" i="28"/>
  <c r="R56" i="28" s="1"/>
  <c r="O55" i="28"/>
  <c r="N55" i="28"/>
  <c r="M55" i="28"/>
  <c r="L55" i="28"/>
  <c r="R55" i="28" s="1"/>
  <c r="R54" i="28"/>
  <c r="O54" i="28"/>
  <c r="N54" i="28"/>
  <c r="M54" i="28"/>
  <c r="L54" i="28"/>
  <c r="Q54" i="28" s="1"/>
  <c r="S54" i="28" s="1"/>
  <c r="Q53" i="28"/>
  <c r="O53" i="28"/>
  <c r="N53" i="28"/>
  <c r="M53" i="28"/>
  <c r="L53" i="28"/>
  <c r="R53" i="28" s="1"/>
  <c r="O51" i="28"/>
  <c r="N51" i="28"/>
  <c r="M51" i="28"/>
  <c r="L51" i="28"/>
  <c r="R51" i="28" s="1"/>
  <c r="O50" i="28"/>
  <c r="N50" i="28"/>
  <c r="M50" i="28"/>
  <c r="L50" i="28"/>
  <c r="R50" i="28" s="1"/>
  <c r="O49" i="28"/>
  <c r="N49" i="28"/>
  <c r="M49" i="28"/>
  <c r="L49" i="28"/>
  <c r="R49" i="28" s="1"/>
  <c r="O48" i="28"/>
  <c r="N48" i="28"/>
  <c r="M48" i="28"/>
  <c r="L48" i="28"/>
  <c r="R48" i="28" s="1"/>
  <c r="O47" i="28"/>
  <c r="N47" i="28"/>
  <c r="M47" i="28"/>
  <c r="L47" i="28"/>
  <c r="R47" i="28" s="1"/>
  <c r="O46" i="28"/>
  <c r="N46" i="28"/>
  <c r="M46" i="28"/>
  <c r="L46" i="28"/>
  <c r="R46" i="28" s="1"/>
  <c r="R44" i="28"/>
  <c r="Q44" i="28"/>
  <c r="O44" i="28"/>
  <c r="N44" i="28"/>
  <c r="M44" i="28"/>
  <c r="L44" i="28"/>
  <c r="R43" i="28"/>
  <c r="Q43" i="28"/>
  <c r="O43" i="28"/>
  <c r="N43" i="28"/>
  <c r="M43" i="28"/>
  <c r="L43" i="28"/>
  <c r="O42" i="28"/>
  <c r="N42" i="28"/>
  <c r="Q42" i="28" s="1"/>
  <c r="M42" i="28"/>
  <c r="L42" i="28"/>
  <c r="R42" i="28" s="1"/>
  <c r="O41" i="28"/>
  <c r="N41" i="28"/>
  <c r="M41" i="28"/>
  <c r="L41" i="28"/>
  <c r="R41" i="28" s="1"/>
  <c r="O40" i="28"/>
  <c r="N40" i="28"/>
  <c r="M40" i="28"/>
  <c r="L40" i="28"/>
  <c r="R40" i="28" s="1"/>
  <c r="O39" i="28"/>
  <c r="N39" i="28"/>
  <c r="M39" i="28"/>
  <c r="L39" i="28"/>
  <c r="R39" i="28" s="1"/>
  <c r="O37" i="28"/>
  <c r="N37" i="28"/>
  <c r="M37" i="28"/>
  <c r="L37" i="28"/>
  <c r="R37" i="28" s="1"/>
  <c r="R36" i="28"/>
  <c r="O36" i="28"/>
  <c r="N36" i="28"/>
  <c r="M36" i="28"/>
  <c r="L36" i="28"/>
  <c r="Q36" i="28" s="1"/>
  <c r="S36" i="28" s="1"/>
  <c r="R35" i="28"/>
  <c r="Q35" i="28"/>
  <c r="S35" i="28" s="1"/>
  <c r="O35" i="28"/>
  <c r="N35" i="28"/>
  <c r="M35" i="28"/>
  <c r="L35" i="28"/>
  <c r="R34" i="28"/>
  <c r="Q34" i="28"/>
  <c r="O34" i="28"/>
  <c r="N34" i="28"/>
  <c r="M34" i="28"/>
  <c r="L34" i="28"/>
  <c r="O33" i="28"/>
  <c r="N33" i="28"/>
  <c r="Q33" i="28" s="1"/>
  <c r="M33" i="28"/>
  <c r="L33" i="28"/>
  <c r="R33" i="28" s="1"/>
  <c r="O32" i="28"/>
  <c r="N32" i="28"/>
  <c r="M32" i="28"/>
  <c r="L32" i="28"/>
  <c r="R32" i="28" s="1"/>
  <c r="O30" i="28"/>
  <c r="N30" i="28"/>
  <c r="M30" i="28"/>
  <c r="L30" i="28"/>
  <c r="R30" i="28" s="1"/>
  <c r="O29" i="28"/>
  <c r="N29" i="28"/>
  <c r="M29" i="28"/>
  <c r="L29" i="28"/>
  <c r="R29" i="28" s="1"/>
  <c r="O28" i="28"/>
  <c r="N28" i="28"/>
  <c r="M28" i="28"/>
  <c r="L28" i="28"/>
  <c r="R28" i="28" s="1"/>
  <c r="R27" i="28"/>
  <c r="O27" i="28"/>
  <c r="N27" i="28"/>
  <c r="M27" i="28"/>
  <c r="L27" i="28"/>
  <c r="Q27" i="28" s="1"/>
  <c r="R26" i="28"/>
  <c r="Q26" i="28"/>
  <c r="S26" i="28" s="1"/>
  <c r="O26" i="28"/>
  <c r="N26" i="28"/>
  <c r="M26" i="28"/>
  <c r="L26" i="28"/>
  <c r="R25" i="28"/>
  <c r="Q25" i="28"/>
  <c r="S25" i="28" s="1"/>
  <c r="O25" i="28"/>
  <c r="N25" i="28"/>
  <c r="M25" i="28"/>
  <c r="L25" i="28"/>
  <c r="O23" i="28"/>
  <c r="N23" i="28"/>
  <c r="Q23" i="28" s="1"/>
  <c r="S23" i="28" s="1"/>
  <c r="M23" i="28"/>
  <c r="L23" i="28"/>
  <c r="R23" i="28" s="1"/>
  <c r="O22" i="28"/>
  <c r="N22" i="28"/>
  <c r="M22" i="28"/>
  <c r="L22" i="28"/>
  <c r="R22" i="28" s="1"/>
  <c r="O21" i="28"/>
  <c r="N21" i="28"/>
  <c r="M21" i="28"/>
  <c r="L21" i="28"/>
  <c r="R21" i="28" s="1"/>
  <c r="O20" i="28"/>
  <c r="N20" i="28"/>
  <c r="M20" i="28"/>
  <c r="L20" i="28"/>
  <c r="R20" i="28" s="1"/>
  <c r="O19" i="28"/>
  <c r="N19" i="28"/>
  <c r="M19" i="28"/>
  <c r="L19" i="28"/>
  <c r="R19" i="28" s="1"/>
  <c r="R18" i="28"/>
  <c r="O18" i="28"/>
  <c r="N18" i="28"/>
  <c r="M18" i="28"/>
  <c r="L18" i="28"/>
  <c r="Q18" i="28" s="1"/>
  <c r="R16" i="28"/>
  <c r="Q16" i="28"/>
  <c r="O16" i="28"/>
  <c r="N16" i="28"/>
  <c r="M16" i="28"/>
  <c r="L16" i="28"/>
  <c r="R15" i="28"/>
  <c r="Q15" i="28"/>
  <c r="S15" i="28" s="1"/>
  <c r="O15" i="28"/>
  <c r="N15" i="28"/>
  <c r="M15" i="28"/>
  <c r="L15" i="28"/>
  <c r="O14" i="28"/>
  <c r="N14" i="28"/>
  <c r="Q14" i="28" s="1"/>
  <c r="M14" i="28"/>
  <c r="L14" i="28"/>
  <c r="R14" i="28" s="1"/>
  <c r="O13" i="28"/>
  <c r="N13" i="28"/>
  <c r="M13" i="28"/>
  <c r="L13" i="28"/>
  <c r="R13" i="28" s="1"/>
  <c r="O12" i="28"/>
  <c r="N12" i="28"/>
  <c r="M12" i="28"/>
  <c r="L12" i="28"/>
  <c r="R12" i="28" s="1"/>
  <c r="O11" i="28"/>
  <c r="N11" i="28"/>
  <c r="M11" i="28"/>
  <c r="L11" i="28"/>
  <c r="Q127" i="27"/>
  <c r="Q134" i="27" s="1"/>
  <c r="S116" i="27"/>
  <c r="S115" i="27"/>
  <c r="S114" i="27"/>
  <c r="S113" i="27"/>
  <c r="O107" i="27"/>
  <c r="N107" i="27"/>
  <c r="M107" i="27"/>
  <c r="L107" i="27"/>
  <c r="S107" i="27" s="1"/>
  <c r="O106" i="27"/>
  <c r="N106" i="27"/>
  <c r="M106" i="27"/>
  <c r="L106" i="27"/>
  <c r="O105" i="27"/>
  <c r="N105" i="27"/>
  <c r="S105" i="27" s="1"/>
  <c r="M105" i="27"/>
  <c r="L105" i="27"/>
  <c r="O104" i="27"/>
  <c r="N104" i="27"/>
  <c r="M104" i="27"/>
  <c r="L104" i="27"/>
  <c r="S104" i="27" s="1"/>
  <c r="O103" i="27"/>
  <c r="N103" i="27"/>
  <c r="M103" i="27"/>
  <c r="L103" i="27"/>
  <c r="S103" i="27" s="1"/>
  <c r="O102" i="27"/>
  <c r="N102" i="27"/>
  <c r="M102" i="27"/>
  <c r="S102" i="27" s="1"/>
  <c r="L102" i="27"/>
  <c r="O101" i="27"/>
  <c r="N101" i="27"/>
  <c r="M101" i="27"/>
  <c r="L101" i="27"/>
  <c r="S101" i="27" s="1"/>
  <c r="O100" i="27"/>
  <c r="N100" i="27"/>
  <c r="M100" i="27"/>
  <c r="L100" i="27"/>
  <c r="O99" i="27"/>
  <c r="N99" i="27"/>
  <c r="M99" i="27"/>
  <c r="L99" i="27"/>
  <c r="S99" i="27" s="1"/>
  <c r="O98" i="27"/>
  <c r="N98" i="27"/>
  <c r="M98" i="27"/>
  <c r="L98" i="27"/>
  <c r="S98" i="27" s="1"/>
  <c r="O97" i="27"/>
  <c r="N97" i="27"/>
  <c r="S97" i="27" s="1"/>
  <c r="M97" i="27"/>
  <c r="L97" i="27"/>
  <c r="O96" i="27"/>
  <c r="N96" i="27"/>
  <c r="M96" i="27"/>
  <c r="L96" i="27"/>
  <c r="S96" i="27" s="1"/>
  <c r="S95" i="27"/>
  <c r="O95" i="27"/>
  <c r="N95" i="27"/>
  <c r="M95" i="27"/>
  <c r="L95" i="27"/>
  <c r="O94" i="27"/>
  <c r="N94" i="27"/>
  <c r="M94" i="27"/>
  <c r="L94" i="27"/>
  <c r="O93" i="27"/>
  <c r="N93" i="27"/>
  <c r="M93" i="27"/>
  <c r="L93" i="27"/>
  <c r="S93" i="27" s="1"/>
  <c r="O92" i="27"/>
  <c r="N92" i="27"/>
  <c r="M92" i="27"/>
  <c r="L92" i="27"/>
  <c r="O91" i="27"/>
  <c r="N91" i="27"/>
  <c r="M91" i="27"/>
  <c r="L91" i="27"/>
  <c r="S91" i="27" s="1"/>
  <c r="O90" i="27"/>
  <c r="N90" i="27"/>
  <c r="M90" i="27"/>
  <c r="L90" i="27"/>
  <c r="O89" i="27"/>
  <c r="N89" i="27"/>
  <c r="S89" i="27" s="1"/>
  <c r="M89" i="27"/>
  <c r="L89" i="27"/>
  <c r="O88" i="27"/>
  <c r="N88" i="27"/>
  <c r="M88" i="27"/>
  <c r="L88" i="27"/>
  <c r="S88" i="27" s="1"/>
  <c r="S87" i="27"/>
  <c r="O87" i="27"/>
  <c r="N87" i="27"/>
  <c r="M87" i="27"/>
  <c r="L87" i="27"/>
  <c r="O86" i="27"/>
  <c r="N86" i="27"/>
  <c r="M86" i="27"/>
  <c r="S86" i="27" s="1"/>
  <c r="L86" i="27"/>
  <c r="O85" i="27"/>
  <c r="N85" i="27"/>
  <c r="M85" i="27"/>
  <c r="L85" i="27"/>
  <c r="S85" i="27" s="1"/>
  <c r="O84" i="27"/>
  <c r="N84" i="27"/>
  <c r="M84" i="27"/>
  <c r="L84" i="27"/>
  <c r="O83" i="27"/>
  <c r="N83" i="27"/>
  <c r="M83" i="27"/>
  <c r="L83" i="27"/>
  <c r="S83" i="27" s="1"/>
  <c r="O82" i="27"/>
  <c r="N82" i="27"/>
  <c r="M82" i="27"/>
  <c r="L82" i="27"/>
  <c r="S82" i="27" s="1"/>
  <c r="O81" i="27"/>
  <c r="N81" i="27"/>
  <c r="S81" i="27" s="1"/>
  <c r="M81" i="27"/>
  <c r="L81" i="27"/>
  <c r="O80" i="27"/>
  <c r="N80" i="27"/>
  <c r="M80" i="27"/>
  <c r="L80" i="27"/>
  <c r="S79" i="27"/>
  <c r="O79" i="27"/>
  <c r="N79" i="27"/>
  <c r="M79" i="27"/>
  <c r="L79" i="27"/>
  <c r="O78" i="27"/>
  <c r="N78" i="27"/>
  <c r="M78" i="27"/>
  <c r="S78" i="27" s="1"/>
  <c r="L78" i="27"/>
  <c r="O77" i="27"/>
  <c r="N77" i="27"/>
  <c r="M77" i="27"/>
  <c r="L77" i="27"/>
  <c r="S77" i="27" s="1"/>
  <c r="O76" i="27"/>
  <c r="N76" i="27"/>
  <c r="M76" i="27"/>
  <c r="L76" i="27"/>
  <c r="S76" i="27" s="1"/>
  <c r="R65" i="27"/>
  <c r="O65" i="27"/>
  <c r="N65" i="27"/>
  <c r="M65" i="27"/>
  <c r="L65" i="27"/>
  <c r="Q65" i="27" s="1"/>
  <c r="O64" i="27"/>
  <c r="N64" i="27"/>
  <c r="R64" i="27" s="1"/>
  <c r="M64" i="27"/>
  <c r="L64" i="27"/>
  <c r="R63" i="27"/>
  <c r="Q63" i="27"/>
  <c r="O63" i="27"/>
  <c r="N63" i="27"/>
  <c r="M63" i="27"/>
  <c r="L63" i="27"/>
  <c r="O62" i="27"/>
  <c r="N62" i="27"/>
  <c r="M62" i="27"/>
  <c r="L62" i="27"/>
  <c r="Q62" i="27" s="1"/>
  <c r="O61" i="27"/>
  <c r="N61" i="27"/>
  <c r="M61" i="27"/>
  <c r="L61" i="27"/>
  <c r="R61" i="27" s="1"/>
  <c r="O60" i="27"/>
  <c r="N60" i="27"/>
  <c r="M60" i="27"/>
  <c r="L60" i="27"/>
  <c r="R60" i="27" s="1"/>
  <c r="O58" i="27"/>
  <c r="N58" i="27"/>
  <c r="M58" i="27"/>
  <c r="L58" i="27"/>
  <c r="R58" i="27" s="1"/>
  <c r="Q57" i="27"/>
  <c r="S57" i="27" s="1"/>
  <c r="O57" i="27"/>
  <c r="N57" i="27"/>
  <c r="M57" i="27"/>
  <c r="L57" i="27"/>
  <c r="R57" i="27" s="1"/>
  <c r="R56" i="27"/>
  <c r="Q56" i="27"/>
  <c r="S56" i="27" s="1"/>
  <c r="O56" i="27"/>
  <c r="N56" i="27"/>
  <c r="M56" i="27"/>
  <c r="L56" i="27"/>
  <c r="R55" i="27"/>
  <c r="O55" i="27"/>
  <c r="N55" i="27"/>
  <c r="Q55" i="27" s="1"/>
  <c r="M55" i="27"/>
  <c r="L55" i="27"/>
  <c r="R54" i="27"/>
  <c r="Q54" i="27"/>
  <c r="S54" i="27" s="1"/>
  <c r="O54" i="27"/>
  <c r="N54" i="27"/>
  <c r="M54" i="27"/>
  <c r="L54" i="27"/>
  <c r="O53" i="27"/>
  <c r="N53" i="27"/>
  <c r="M53" i="27"/>
  <c r="L53" i="27"/>
  <c r="Q53" i="27" s="1"/>
  <c r="O51" i="27"/>
  <c r="N51" i="27"/>
  <c r="M51" i="27"/>
  <c r="L51" i="27"/>
  <c r="R51" i="27" s="1"/>
  <c r="O50" i="27"/>
  <c r="N50" i="27"/>
  <c r="M50" i="27"/>
  <c r="L50" i="27"/>
  <c r="R50" i="27" s="1"/>
  <c r="O49" i="27"/>
  <c r="N49" i="27"/>
  <c r="M49" i="27"/>
  <c r="L49" i="27"/>
  <c r="R49" i="27" s="1"/>
  <c r="Q48" i="27"/>
  <c r="O48" i="27"/>
  <c r="N48" i="27"/>
  <c r="M48" i="27"/>
  <c r="L48" i="27"/>
  <c r="R48" i="27" s="1"/>
  <c r="R47" i="27"/>
  <c r="Q47" i="27"/>
  <c r="S47" i="27" s="1"/>
  <c r="O47" i="27"/>
  <c r="N47" i="27"/>
  <c r="M47" i="27"/>
  <c r="L47" i="27"/>
  <c r="R46" i="27"/>
  <c r="O46" i="27"/>
  <c r="N46" i="27"/>
  <c r="Q46" i="27" s="1"/>
  <c r="M46" i="27"/>
  <c r="L46" i="27"/>
  <c r="R44" i="27"/>
  <c r="Q44" i="27"/>
  <c r="O44" i="27"/>
  <c r="N44" i="27"/>
  <c r="M44" i="27"/>
  <c r="L44" i="27"/>
  <c r="O43" i="27"/>
  <c r="N43" i="27"/>
  <c r="M43" i="27"/>
  <c r="L43" i="27"/>
  <c r="Q43" i="27" s="1"/>
  <c r="O42" i="27"/>
  <c r="N42" i="27"/>
  <c r="M42" i="27"/>
  <c r="L42" i="27"/>
  <c r="R42" i="27" s="1"/>
  <c r="O41" i="27"/>
  <c r="N41" i="27"/>
  <c r="M41" i="27"/>
  <c r="L41" i="27"/>
  <c r="R41" i="27" s="1"/>
  <c r="O40" i="27"/>
  <c r="N40" i="27"/>
  <c r="M40" i="27"/>
  <c r="L40" i="27"/>
  <c r="R40" i="27" s="1"/>
  <c r="Q39" i="27"/>
  <c r="O39" i="27"/>
  <c r="N39" i="27"/>
  <c r="M39" i="27"/>
  <c r="L39" i="27"/>
  <c r="R39" i="27" s="1"/>
  <c r="R37" i="27"/>
  <c r="Q37" i="27"/>
  <c r="O37" i="27"/>
  <c r="N37" i="27"/>
  <c r="M37" i="27"/>
  <c r="L37" i="27"/>
  <c r="R36" i="27"/>
  <c r="O36" i="27"/>
  <c r="N36" i="27"/>
  <c r="Q36" i="27" s="1"/>
  <c r="S36" i="27" s="1"/>
  <c r="M36" i="27"/>
  <c r="L36" i="27"/>
  <c r="R35" i="27"/>
  <c r="Q35" i="27"/>
  <c r="O35" i="27"/>
  <c r="N35" i="27"/>
  <c r="M35" i="27"/>
  <c r="L35" i="27"/>
  <c r="O34" i="27"/>
  <c r="N34" i="27"/>
  <c r="M34" i="27"/>
  <c r="L34" i="27"/>
  <c r="Q34" i="27" s="1"/>
  <c r="O33" i="27"/>
  <c r="N33" i="27"/>
  <c r="M33" i="27"/>
  <c r="L33" i="27"/>
  <c r="R33" i="27" s="1"/>
  <c r="O32" i="27"/>
  <c r="N32" i="27"/>
  <c r="M32" i="27"/>
  <c r="L32" i="27"/>
  <c r="R32" i="27" s="1"/>
  <c r="O30" i="27"/>
  <c r="N30" i="27"/>
  <c r="M30" i="27"/>
  <c r="L30" i="27"/>
  <c r="R30" i="27" s="1"/>
  <c r="Q29" i="27"/>
  <c r="S29" i="27" s="1"/>
  <c r="O29" i="27"/>
  <c r="N29" i="27"/>
  <c r="M29" i="27"/>
  <c r="L29" i="27"/>
  <c r="R29" i="27" s="1"/>
  <c r="R28" i="27"/>
  <c r="Q28" i="27"/>
  <c r="S28" i="27" s="1"/>
  <c r="O28" i="27"/>
  <c r="N28" i="27"/>
  <c r="M28" i="27"/>
  <c r="L28" i="27"/>
  <c r="R27" i="27"/>
  <c r="O27" i="27"/>
  <c r="N27" i="27"/>
  <c r="Q27" i="27" s="1"/>
  <c r="S27" i="27" s="1"/>
  <c r="M27" i="27"/>
  <c r="L27" i="27"/>
  <c r="R26" i="27"/>
  <c r="Q26" i="27"/>
  <c r="S26" i="27" s="1"/>
  <c r="O26" i="27"/>
  <c r="N26" i="27"/>
  <c r="M26" i="27"/>
  <c r="L26" i="27"/>
  <c r="O25" i="27"/>
  <c r="N25" i="27"/>
  <c r="M25" i="27"/>
  <c r="L25" i="27"/>
  <c r="Q25" i="27" s="1"/>
  <c r="O23" i="27"/>
  <c r="N23" i="27"/>
  <c r="M23" i="27"/>
  <c r="L23" i="27"/>
  <c r="R23" i="27" s="1"/>
  <c r="O22" i="27"/>
  <c r="N22" i="27"/>
  <c r="M22" i="27"/>
  <c r="L22" i="27"/>
  <c r="R22" i="27" s="1"/>
  <c r="O21" i="27"/>
  <c r="N21" i="27"/>
  <c r="M21" i="27"/>
  <c r="L21" i="27"/>
  <c r="R21" i="27" s="1"/>
  <c r="Q20" i="27"/>
  <c r="O20" i="27"/>
  <c r="N20" i="27"/>
  <c r="M20" i="27"/>
  <c r="L20" i="27"/>
  <c r="R20" i="27" s="1"/>
  <c r="R19" i="27"/>
  <c r="Q19" i="27"/>
  <c r="S19" i="27" s="1"/>
  <c r="O19" i="27"/>
  <c r="N19" i="27"/>
  <c r="M19" i="27"/>
  <c r="L19" i="27"/>
  <c r="R18" i="27"/>
  <c r="O18" i="27"/>
  <c r="N18" i="27"/>
  <c r="Q18" i="27" s="1"/>
  <c r="S18" i="27" s="1"/>
  <c r="M18" i="27"/>
  <c r="L18" i="27"/>
  <c r="R16" i="27"/>
  <c r="Q16" i="27"/>
  <c r="S16" i="27" s="1"/>
  <c r="O16" i="27"/>
  <c r="N16" i="27"/>
  <c r="M16" i="27"/>
  <c r="L16" i="27"/>
  <c r="O15" i="27"/>
  <c r="N15" i="27"/>
  <c r="M15" i="27"/>
  <c r="L15" i="27"/>
  <c r="Q15" i="27" s="1"/>
  <c r="O14" i="27"/>
  <c r="N14" i="27"/>
  <c r="M14" i="27"/>
  <c r="L14" i="27"/>
  <c r="R14" i="27" s="1"/>
  <c r="O13" i="27"/>
  <c r="N13" i="27"/>
  <c r="M13" i="27"/>
  <c r="L13" i="27"/>
  <c r="R13" i="27" s="1"/>
  <c r="O12" i="27"/>
  <c r="N12" i="27"/>
  <c r="M12" i="27"/>
  <c r="L12" i="27"/>
  <c r="R12" i="27" s="1"/>
  <c r="Q11" i="27"/>
  <c r="O11" i="27"/>
  <c r="N11" i="27"/>
  <c r="M11" i="27"/>
  <c r="L11" i="27"/>
  <c r="Q127" i="26"/>
  <c r="Q134" i="26" s="1"/>
  <c r="S116" i="26"/>
  <c r="S115" i="26"/>
  <c r="S114" i="26"/>
  <c r="S113" i="26"/>
  <c r="O107" i="26"/>
  <c r="N107" i="26"/>
  <c r="M107" i="26"/>
  <c r="S107" i="26" s="1"/>
  <c r="L107" i="26"/>
  <c r="O106" i="26"/>
  <c r="N106" i="26"/>
  <c r="M106" i="26"/>
  <c r="L106" i="26"/>
  <c r="O105" i="26"/>
  <c r="N105" i="26"/>
  <c r="M105" i="26"/>
  <c r="L105" i="26"/>
  <c r="O104" i="26"/>
  <c r="N104" i="26"/>
  <c r="M104" i="26"/>
  <c r="L104" i="26"/>
  <c r="O103" i="26"/>
  <c r="N103" i="26"/>
  <c r="M103" i="26"/>
  <c r="L103" i="26"/>
  <c r="S103" i="26" s="1"/>
  <c r="O102" i="26"/>
  <c r="N102" i="26"/>
  <c r="M102" i="26"/>
  <c r="L102" i="26"/>
  <c r="O101" i="26"/>
  <c r="N101" i="26"/>
  <c r="M101" i="26"/>
  <c r="L101" i="26"/>
  <c r="S101" i="26" s="1"/>
  <c r="O100" i="26"/>
  <c r="N100" i="26"/>
  <c r="M100" i="26"/>
  <c r="S100" i="26" s="1"/>
  <c r="L100" i="26"/>
  <c r="O99" i="26"/>
  <c r="N99" i="26"/>
  <c r="M99" i="26"/>
  <c r="L99" i="26"/>
  <c r="S99" i="26" s="1"/>
  <c r="O98" i="26"/>
  <c r="N98" i="26"/>
  <c r="M98" i="26"/>
  <c r="L98" i="26"/>
  <c r="O97" i="26"/>
  <c r="N97" i="26"/>
  <c r="M97" i="26"/>
  <c r="L97" i="26"/>
  <c r="O96" i="26"/>
  <c r="N96" i="26"/>
  <c r="M96" i="26"/>
  <c r="L96" i="26"/>
  <c r="O95" i="26"/>
  <c r="N95" i="26"/>
  <c r="M95" i="26"/>
  <c r="L95" i="26"/>
  <c r="O94" i="26"/>
  <c r="N94" i="26"/>
  <c r="M94" i="26"/>
  <c r="L94" i="26"/>
  <c r="O93" i="26"/>
  <c r="N93" i="26"/>
  <c r="S93" i="26" s="1"/>
  <c r="M93" i="26"/>
  <c r="L93" i="26"/>
  <c r="O92" i="26"/>
  <c r="N92" i="26"/>
  <c r="M92" i="26"/>
  <c r="L92" i="26"/>
  <c r="O91" i="26"/>
  <c r="N91" i="26"/>
  <c r="M91" i="26"/>
  <c r="L91" i="26"/>
  <c r="S91" i="26" s="1"/>
  <c r="O90" i="26"/>
  <c r="N90" i="26"/>
  <c r="M90" i="26"/>
  <c r="L90" i="26"/>
  <c r="O89" i="26"/>
  <c r="N89" i="26"/>
  <c r="M89" i="26"/>
  <c r="L89" i="26"/>
  <c r="O88" i="26"/>
  <c r="N88" i="26"/>
  <c r="M88" i="26"/>
  <c r="L88" i="26"/>
  <c r="O87" i="26"/>
  <c r="N87" i="26"/>
  <c r="M87" i="26"/>
  <c r="L87" i="26"/>
  <c r="O86" i="26"/>
  <c r="N86" i="26"/>
  <c r="M86" i="26"/>
  <c r="L86" i="26"/>
  <c r="S85" i="26"/>
  <c r="O85" i="26"/>
  <c r="N85" i="26"/>
  <c r="M85" i="26"/>
  <c r="L85" i="26"/>
  <c r="O84" i="26"/>
  <c r="N84" i="26"/>
  <c r="M84" i="26"/>
  <c r="L84" i="26"/>
  <c r="O83" i="26"/>
  <c r="N83" i="26"/>
  <c r="M83" i="26"/>
  <c r="L83" i="26"/>
  <c r="S83" i="26" s="1"/>
  <c r="O82" i="26"/>
  <c r="N82" i="26"/>
  <c r="M82" i="26"/>
  <c r="L82" i="26"/>
  <c r="O81" i="26"/>
  <c r="N81" i="26"/>
  <c r="M81" i="26"/>
  <c r="L81" i="26"/>
  <c r="S81" i="26" s="1"/>
  <c r="O80" i="26"/>
  <c r="N80" i="26"/>
  <c r="M80" i="26"/>
  <c r="L80" i="26"/>
  <c r="O79" i="26"/>
  <c r="N79" i="26"/>
  <c r="M79" i="26"/>
  <c r="L79" i="26"/>
  <c r="S79" i="26" s="1"/>
  <c r="O78" i="26"/>
  <c r="N78" i="26"/>
  <c r="M78" i="26"/>
  <c r="L78" i="26"/>
  <c r="O77" i="26"/>
  <c r="N77" i="26"/>
  <c r="M77" i="26"/>
  <c r="L77" i="26"/>
  <c r="S77" i="26" s="1"/>
  <c r="O76" i="26"/>
  <c r="N76" i="26"/>
  <c r="N109" i="26" s="1"/>
  <c r="M76" i="26"/>
  <c r="L76" i="26"/>
  <c r="Q65" i="26"/>
  <c r="O65" i="26"/>
  <c r="N65" i="26"/>
  <c r="M65" i="26"/>
  <c r="L65" i="26"/>
  <c r="R65" i="26" s="1"/>
  <c r="O64" i="26"/>
  <c r="N64" i="26"/>
  <c r="M64" i="26"/>
  <c r="L64" i="26"/>
  <c r="R64" i="26" s="1"/>
  <c r="O63" i="26"/>
  <c r="N63" i="26"/>
  <c r="R63" i="26" s="1"/>
  <c r="M63" i="26"/>
  <c r="L63" i="26"/>
  <c r="Q63" i="26" s="1"/>
  <c r="O62" i="26"/>
  <c r="N62" i="26"/>
  <c r="M62" i="26"/>
  <c r="L62" i="26"/>
  <c r="Q62" i="26" s="1"/>
  <c r="O61" i="26"/>
  <c r="N61" i="26"/>
  <c r="M61" i="26"/>
  <c r="L61" i="26"/>
  <c r="R61" i="26" s="1"/>
  <c r="O60" i="26"/>
  <c r="N60" i="26"/>
  <c r="M60" i="26"/>
  <c r="L60" i="26"/>
  <c r="R60" i="26" s="1"/>
  <c r="R58" i="26"/>
  <c r="O58" i="26"/>
  <c r="N58" i="26"/>
  <c r="M58" i="26"/>
  <c r="L58" i="26"/>
  <c r="Q58" i="26" s="1"/>
  <c r="S58" i="26" s="1"/>
  <c r="R57" i="26"/>
  <c r="Q57" i="26"/>
  <c r="S57" i="26" s="1"/>
  <c r="O57" i="26"/>
  <c r="N57" i="26"/>
  <c r="M57" i="26"/>
  <c r="L57" i="26"/>
  <c r="Q56" i="26"/>
  <c r="O56" i="26"/>
  <c r="N56" i="26"/>
  <c r="M56" i="26"/>
  <c r="L56" i="26"/>
  <c r="R56" i="26" s="1"/>
  <c r="O55" i="26"/>
  <c r="N55" i="26"/>
  <c r="R55" i="26" s="1"/>
  <c r="M55" i="26"/>
  <c r="L55" i="26"/>
  <c r="O54" i="26"/>
  <c r="N54" i="26"/>
  <c r="Q54" i="26" s="1"/>
  <c r="M54" i="26"/>
  <c r="L54" i="26"/>
  <c r="R54" i="26" s="1"/>
  <c r="O53" i="26"/>
  <c r="N53" i="26"/>
  <c r="M53" i="26"/>
  <c r="L53" i="26"/>
  <c r="Q53" i="26" s="1"/>
  <c r="O51" i="26"/>
  <c r="N51" i="26"/>
  <c r="M51" i="26"/>
  <c r="L51" i="26"/>
  <c r="R51" i="26" s="1"/>
  <c r="R50" i="26"/>
  <c r="O50" i="26"/>
  <c r="N50" i="26"/>
  <c r="M50" i="26"/>
  <c r="L50" i="26"/>
  <c r="Q50" i="26" s="1"/>
  <c r="S50" i="26" s="1"/>
  <c r="R49" i="26"/>
  <c r="O49" i="26"/>
  <c r="N49" i="26"/>
  <c r="Q49" i="26" s="1"/>
  <c r="S49" i="26" s="1"/>
  <c r="M49" i="26"/>
  <c r="L49" i="26"/>
  <c r="R48" i="26"/>
  <c r="Q48" i="26"/>
  <c r="S48" i="26" s="1"/>
  <c r="O48" i="26"/>
  <c r="N48" i="26"/>
  <c r="M48" i="26"/>
  <c r="L48" i="26"/>
  <c r="Q47" i="26"/>
  <c r="O47" i="26"/>
  <c r="N47" i="26"/>
  <c r="M47" i="26"/>
  <c r="L47" i="26"/>
  <c r="R47" i="26" s="1"/>
  <c r="O46" i="26"/>
  <c r="N46" i="26"/>
  <c r="R46" i="26" s="1"/>
  <c r="M46" i="26"/>
  <c r="L46" i="26"/>
  <c r="Q46" i="26" s="1"/>
  <c r="S46" i="26" s="1"/>
  <c r="O44" i="26"/>
  <c r="N44" i="26"/>
  <c r="M44" i="26"/>
  <c r="L44" i="26"/>
  <c r="R44" i="26" s="1"/>
  <c r="O43" i="26"/>
  <c r="N43" i="26"/>
  <c r="M43" i="26"/>
  <c r="L43" i="26"/>
  <c r="Q43" i="26" s="1"/>
  <c r="O42" i="26"/>
  <c r="N42" i="26"/>
  <c r="M42" i="26"/>
  <c r="L42" i="26"/>
  <c r="R42" i="26" s="1"/>
  <c r="R41" i="26"/>
  <c r="O41" i="26"/>
  <c r="N41" i="26"/>
  <c r="M41" i="26"/>
  <c r="L41" i="26"/>
  <c r="Q41" i="26" s="1"/>
  <c r="S41" i="26" s="1"/>
  <c r="R40" i="26"/>
  <c r="O40" i="26"/>
  <c r="N40" i="26"/>
  <c r="Q40" i="26" s="1"/>
  <c r="S40" i="26" s="1"/>
  <c r="M40" i="26"/>
  <c r="L40" i="26"/>
  <c r="R39" i="26"/>
  <c r="Q39" i="26"/>
  <c r="S39" i="26" s="1"/>
  <c r="O39" i="26"/>
  <c r="N39" i="26"/>
  <c r="M39" i="26"/>
  <c r="L39" i="26"/>
  <c r="Q37" i="26"/>
  <c r="O37" i="26"/>
  <c r="N37" i="26"/>
  <c r="M37" i="26"/>
  <c r="L37" i="26"/>
  <c r="R37" i="26" s="1"/>
  <c r="O36" i="26"/>
  <c r="N36" i="26"/>
  <c r="R36" i="26" s="1"/>
  <c r="M36" i="26"/>
  <c r="L36" i="26"/>
  <c r="O35" i="26"/>
  <c r="N35" i="26"/>
  <c r="M35" i="26"/>
  <c r="L35" i="26"/>
  <c r="R35" i="26" s="1"/>
  <c r="O34" i="26"/>
  <c r="N34" i="26"/>
  <c r="M34" i="26"/>
  <c r="L34" i="26"/>
  <c r="Q34" i="26" s="1"/>
  <c r="O33" i="26"/>
  <c r="N33" i="26"/>
  <c r="M33" i="26"/>
  <c r="L33" i="26"/>
  <c r="R33" i="26" s="1"/>
  <c r="R32" i="26"/>
  <c r="O32" i="26"/>
  <c r="N32" i="26"/>
  <c r="M32" i="26"/>
  <c r="L32" i="26"/>
  <c r="Q32" i="26" s="1"/>
  <c r="R30" i="26"/>
  <c r="O30" i="26"/>
  <c r="N30" i="26"/>
  <c r="Q30" i="26" s="1"/>
  <c r="S30" i="26" s="1"/>
  <c r="M30" i="26"/>
  <c r="L30" i="26"/>
  <c r="R29" i="26"/>
  <c r="Q29" i="26"/>
  <c r="O29" i="26"/>
  <c r="N29" i="26"/>
  <c r="M29" i="26"/>
  <c r="L29" i="26"/>
  <c r="Q28" i="26"/>
  <c r="S28" i="26" s="1"/>
  <c r="O28" i="26"/>
  <c r="N28" i="26"/>
  <c r="M28" i="26"/>
  <c r="L28" i="26"/>
  <c r="R28" i="26" s="1"/>
  <c r="O27" i="26"/>
  <c r="N27" i="26"/>
  <c r="R27" i="26" s="1"/>
  <c r="M27" i="26"/>
  <c r="L27" i="26"/>
  <c r="O26" i="26"/>
  <c r="N26" i="26"/>
  <c r="M26" i="26"/>
  <c r="L26" i="26"/>
  <c r="R26" i="26" s="1"/>
  <c r="O25" i="26"/>
  <c r="N25" i="26"/>
  <c r="M25" i="26"/>
  <c r="L25" i="26"/>
  <c r="Q25" i="26" s="1"/>
  <c r="O23" i="26"/>
  <c r="N23" i="26"/>
  <c r="M23" i="26"/>
  <c r="L23" i="26"/>
  <c r="R23" i="26" s="1"/>
  <c r="R22" i="26"/>
  <c r="O22" i="26"/>
  <c r="N22" i="26"/>
  <c r="M22" i="26"/>
  <c r="L22" i="26"/>
  <c r="Q22" i="26" s="1"/>
  <c r="S22" i="26" s="1"/>
  <c r="R21" i="26"/>
  <c r="O21" i="26"/>
  <c r="N21" i="26"/>
  <c r="Q21" i="26" s="1"/>
  <c r="M21" i="26"/>
  <c r="L21" i="26"/>
  <c r="R20" i="26"/>
  <c r="Q20" i="26"/>
  <c r="S20" i="26" s="1"/>
  <c r="O20" i="26"/>
  <c r="N20" i="26"/>
  <c r="M20" i="26"/>
  <c r="L20" i="26"/>
  <c r="Q19" i="26"/>
  <c r="O19" i="26"/>
  <c r="N19" i="26"/>
  <c r="M19" i="26"/>
  <c r="L19" i="26"/>
  <c r="R19" i="26" s="1"/>
  <c r="O18" i="26"/>
  <c r="N18" i="26"/>
  <c r="R18" i="26" s="1"/>
  <c r="M18" i="26"/>
  <c r="L18" i="26"/>
  <c r="Q18" i="26" s="1"/>
  <c r="S18" i="26" s="1"/>
  <c r="O16" i="26"/>
  <c r="N16" i="26"/>
  <c r="M16" i="26"/>
  <c r="L16" i="26"/>
  <c r="R16" i="26" s="1"/>
  <c r="O15" i="26"/>
  <c r="N15" i="26"/>
  <c r="M15" i="26"/>
  <c r="L15" i="26"/>
  <c r="Q15" i="26" s="1"/>
  <c r="O14" i="26"/>
  <c r="N14" i="26"/>
  <c r="M14" i="26"/>
  <c r="L14" i="26"/>
  <c r="R14" i="26" s="1"/>
  <c r="R13" i="26"/>
  <c r="O13" i="26"/>
  <c r="N13" i="26"/>
  <c r="M13" i="26"/>
  <c r="L13" i="26"/>
  <c r="Q13" i="26" s="1"/>
  <c r="S13" i="26" s="1"/>
  <c r="R12" i="26"/>
  <c r="O12" i="26"/>
  <c r="N12" i="26"/>
  <c r="Q12" i="26" s="1"/>
  <c r="M12" i="26"/>
  <c r="L12" i="26"/>
  <c r="O11" i="26"/>
  <c r="N11" i="26"/>
  <c r="M11" i="26"/>
  <c r="L11" i="26"/>
  <c r="R11" i="26" s="1"/>
  <c r="Q127" i="24"/>
  <c r="Q134" i="24" s="1"/>
  <c r="S116" i="24"/>
  <c r="S115" i="24"/>
  <c r="S114" i="24"/>
  <c r="S113" i="24"/>
  <c r="Q118" i="24" s="1"/>
  <c r="Q133" i="24" s="1"/>
  <c r="O107" i="24"/>
  <c r="N107" i="24"/>
  <c r="M107" i="24"/>
  <c r="L107" i="24"/>
  <c r="O106" i="24"/>
  <c r="N106" i="24"/>
  <c r="M106" i="24"/>
  <c r="L106" i="24"/>
  <c r="O105" i="24"/>
  <c r="N105" i="24"/>
  <c r="M105" i="24"/>
  <c r="L105" i="24"/>
  <c r="O104" i="24"/>
  <c r="N104" i="24"/>
  <c r="M104" i="24"/>
  <c r="L104" i="24"/>
  <c r="O103" i="24"/>
  <c r="N103" i="24"/>
  <c r="M103" i="24"/>
  <c r="L103" i="24"/>
  <c r="O102" i="24"/>
  <c r="N102" i="24"/>
  <c r="M102" i="24"/>
  <c r="L102" i="24"/>
  <c r="O101" i="24"/>
  <c r="N101" i="24"/>
  <c r="M101" i="24"/>
  <c r="L101" i="24"/>
  <c r="O100" i="24"/>
  <c r="N100" i="24"/>
  <c r="M100" i="24"/>
  <c r="L100" i="24"/>
  <c r="O99" i="24"/>
  <c r="N99" i="24"/>
  <c r="M99" i="24"/>
  <c r="L99" i="24"/>
  <c r="O98" i="24"/>
  <c r="N98" i="24"/>
  <c r="M98" i="24"/>
  <c r="L98" i="24"/>
  <c r="O97" i="24"/>
  <c r="N97" i="24"/>
  <c r="S97" i="24" s="1"/>
  <c r="M97" i="24"/>
  <c r="L97" i="24"/>
  <c r="O96" i="24"/>
  <c r="N96" i="24"/>
  <c r="M96" i="24"/>
  <c r="L96" i="24"/>
  <c r="S96" i="24" s="1"/>
  <c r="O95" i="24"/>
  <c r="N95" i="24"/>
  <c r="M95" i="24"/>
  <c r="L95" i="24"/>
  <c r="O94" i="24"/>
  <c r="N94" i="24"/>
  <c r="M94" i="24"/>
  <c r="L94" i="24"/>
  <c r="S94" i="24" s="1"/>
  <c r="O93" i="24"/>
  <c r="N93" i="24"/>
  <c r="M93" i="24"/>
  <c r="L93" i="24"/>
  <c r="O92" i="24"/>
  <c r="N92" i="24"/>
  <c r="M92" i="24"/>
  <c r="L92" i="24"/>
  <c r="S92" i="24" s="1"/>
  <c r="O91" i="24"/>
  <c r="N91" i="24"/>
  <c r="M91" i="24"/>
  <c r="L91" i="24"/>
  <c r="O90" i="24"/>
  <c r="N90" i="24"/>
  <c r="M90" i="24"/>
  <c r="L90" i="24"/>
  <c r="S90" i="24" s="1"/>
  <c r="O89" i="24"/>
  <c r="N89" i="24"/>
  <c r="M89" i="24"/>
  <c r="L89" i="24"/>
  <c r="O88" i="24"/>
  <c r="N88" i="24"/>
  <c r="M88" i="24"/>
  <c r="L88" i="24"/>
  <c r="S88" i="24" s="1"/>
  <c r="O87" i="24"/>
  <c r="N87" i="24"/>
  <c r="M87" i="24"/>
  <c r="L87" i="24"/>
  <c r="O86" i="24"/>
  <c r="N86" i="24"/>
  <c r="M86" i="24"/>
  <c r="L86" i="24"/>
  <c r="S86" i="24" s="1"/>
  <c r="O85" i="24"/>
  <c r="N85" i="24"/>
  <c r="M85" i="24"/>
  <c r="L85" i="24"/>
  <c r="O84" i="24"/>
  <c r="N84" i="24"/>
  <c r="M84" i="24"/>
  <c r="L84" i="24"/>
  <c r="S84" i="24" s="1"/>
  <c r="O83" i="24"/>
  <c r="N83" i="24"/>
  <c r="M83" i="24"/>
  <c r="L83" i="24"/>
  <c r="O82" i="24"/>
  <c r="N82" i="24"/>
  <c r="M82" i="24"/>
  <c r="L82" i="24"/>
  <c r="S82" i="24" s="1"/>
  <c r="O81" i="24"/>
  <c r="S81" i="24" s="1"/>
  <c r="N81" i="24"/>
  <c r="M81" i="24"/>
  <c r="L81" i="24"/>
  <c r="O80" i="24"/>
  <c r="N80" i="24"/>
  <c r="M80" i="24"/>
  <c r="L80" i="24"/>
  <c r="S80" i="24" s="1"/>
  <c r="O79" i="24"/>
  <c r="N79" i="24"/>
  <c r="M79" i="24"/>
  <c r="L79" i="24"/>
  <c r="O78" i="24"/>
  <c r="N78" i="24"/>
  <c r="M78" i="24"/>
  <c r="L78" i="24"/>
  <c r="S78" i="24" s="1"/>
  <c r="O77" i="24"/>
  <c r="N77" i="24"/>
  <c r="M77" i="24"/>
  <c r="L77" i="24"/>
  <c r="O76" i="24"/>
  <c r="N76" i="24"/>
  <c r="M76" i="24"/>
  <c r="L76" i="24"/>
  <c r="S76" i="24" s="1"/>
  <c r="O65" i="24"/>
  <c r="N65" i="24"/>
  <c r="M65" i="24"/>
  <c r="L65" i="24"/>
  <c r="O64" i="24"/>
  <c r="N64" i="24"/>
  <c r="M64" i="24"/>
  <c r="L64" i="24"/>
  <c r="O63" i="24"/>
  <c r="N63" i="24"/>
  <c r="M63" i="24"/>
  <c r="L63" i="24"/>
  <c r="R63" i="24" s="1"/>
  <c r="O62" i="24"/>
  <c r="N62" i="24"/>
  <c r="M62" i="24"/>
  <c r="L62" i="24"/>
  <c r="O61" i="24"/>
  <c r="N61" i="24"/>
  <c r="M61" i="24"/>
  <c r="L61" i="24"/>
  <c r="Q61" i="24" s="1"/>
  <c r="O60" i="24"/>
  <c r="N60" i="24"/>
  <c r="M60" i="24"/>
  <c r="L60" i="24"/>
  <c r="R60" i="24" s="1"/>
  <c r="O58" i="24"/>
  <c r="N58" i="24"/>
  <c r="M58" i="24"/>
  <c r="L58" i="24"/>
  <c r="Q58" i="24" s="1"/>
  <c r="O57" i="24"/>
  <c r="N57" i="24"/>
  <c r="M57" i="24"/>
  <c r="L57" i="24"/>
  <c r="Q57" i="24" s="1"/>
  <c r="Q56" i="24"/>
  <c r="O56" i="24"/>
  <c r="N56" i="24"/>
  <c r="M56" i="24"/>
  <c r="L56" i="24"/>
  <c r="R56" i="24" s="1"/>
  <c r="O55" i="24"/>
  <c r="N55" i="24"/>
  <c r="M55" i="24"/>
  <c r="L55" i="24"/>
  <c r="R55" i="24" s="1"/>
  <c r="O54" i="24"/>
  <c r="N54" i="24"/>
  <c r="M54" i="24"/>
  <c r="L54" i="24"/>
  <c r="O53" i="24"/>
  <c r="N53" i="24"/>
  <c r="M53" i="24"/>
  <c r="L53" i="24"/>
  <c r="Q53" i="24" s="1"/>
  <c r="O51" i="24"/>
  <c r="N51" i="24"/>
  <c r="M51" i="24"/>
  <c r="L51" i="24"/>
  <c r="O50" i="24"/>
  <c r="N50" i="24"/>
  <c r="M50" i="24"/>
  <c r="L50" i="24"/>
  <c r="R50" i="24" s="1"/>
  <c r="O49" i="24"/>
  <c r="N49" i="24"/>
  <c r="M49" i="24"/>
  <c r="L49" i="24"/>
  <c r="O48" i="24"/>
  <c r="N48" i="24"/>
  <c r="M48" i="24"/>
  <c r="L48" i="24"/>
  <c r="O47" i="24"/>
  <c r="N47" i="24"/>
  <c r="M47" i="24"/>
  <c r="L47" i="24"/>
  <c r="R47" i="24" s="1"/>
  <c r="O46" i="24"/>
  <c r="N46" i="24"/>
  <c r="M46" i="24"/>
  <c r="L46" i="24"/>
  <c r="O44" i="24"/>
  <c r="N44" i="24"/>
  <c r="M44" i="24"/>
  <c r="L44" i="24"/>
  <c r="R44" i="24" s="1"/>
  <c r="O43" i="24"/>
  <c r="N43" i="24"/>
  <c r="M43" i="24"/>
  <c r="L43" i="24"/>
  <c r="O42" i="24"/>
  <c r="N42" i="24"/>
  <c r="M42" i="24"/>
  <c r="L42" i="24"/>
  <c r="R42" i="24" s="1"/>
  <c r="O41" i="24"/>
  <c r="N41" i="24"/>
  <c r="M41" i="24"/>
  <c r="L41" i="24"/>
  <c r="O40" i="24"/>
  <c r="N40" i="24"/>
  <c r="M40" i="24"/>
  <c r="L40" i="24"/>
  <c r="R40" i="24" s="1"/>
  <c r="O39" i="24"/>
  <c r="N39" i="24"/>
  <c r="M39" i="24"/>
  <c r="L39" i="24"/>
  <c r="R39" i="24" s="1"/>
  <c r="O37" i="24"/>
  <c r="N37" i="24"/>
  <c r="Q37" i="24" s="1"/>
  <c r="M37" i="24"/>
  <c r="L37" i="24"/>
  <c r="R37" i="24" s="1"/>
  <c r="O36" i="24"/>
  <c r="N36" i="24"/>
  <c r="Q36" i="24" s="1"/>
  <c r="M36" i="24"/>
  <c r="L36" i="24"/>
  <c r="O35" i="24"/>
  <c r="N35" i="24"/>
  <c r="M35" i="24"/>
  <c r="L35" i="24"/>
  <c r="O34" i="24"/>
  <c r="N34" i="24"/>
  <c r="M34" i="24"/>
  <c r="L34" i="24"/>
  <c r="O33" i="24"/>
  <c r="N33" i="24"/>
  <c r="M33" i="24"/>
  <c r="L33" i="24"/>
  <c r="O32" i="24"/>
  <c r="N32" i="24"/>
  <c r="M32" i="24"/>
  <c r="L32" i="24"/>
  <c r="O30" i="24"/>
  <c r="N30" i="24"/>
  <c r="M30" i="24"/>
  <c r="L30" i="24"/>
  <c r="R29" i="24"/>
  <c r="Q29" i="24"/>
  <c r="S29" i="24" s="1"/>
  <c r="O29" i="24"/>
  <c r="N29" i="24"/>
  <c r="M29" i="24"/>
  <c r="L29" i="24"/>
  <c r="O28" i="24"/>
  <c r="N28" i="24"/>
  <c r="M28" i="24"/>
  <c r="L28" i="24"/>
  <c r="R28" i="24" s="1"/>
  <c r="O27" i="24"/>
  <c r="N27" i="24"/>
  <c r="M27" i="24"/>
  <c r="L27" i="24"/>
  <c r="R27" i="24" s="1"/>
  <c r="O26" i="24"/>
  <c r="N26" i="24"/>
  <c r="M26" i="24"/>
  <c r="L26" i="24"/>
  <c r="O25" i="24"/>
  <c r="N25" i="24"/>
  <c r="M25" i="24"/>
  <c r="L25" i="24"/>
  <c r="Q25" i="24" s="1"/>
  <c r="O23" i="24"/>
  <c r="N23" i="24"/>
  <c r="M23" i="24"/>
  <c r="L23" i="24"/>
  <c r="O22" i="24"/>
  <c r="N22" i="24"/>
  <c r="M22" i="24"/>
  <c r="L22" i="24"/>
  <c r="R22" i="24" s="1"/>
  <c r="O21" i="24"/>
  <c r="N21" i="24"/>
  <c r="M21" i="24"/>
  <c r="L21" i="24"/>
  <c r="Q21" i="24" s="1"/>
  <c r="O20" i="24"/>
  <c r="N20" i="24"/>
  <c r="M20" i="24"/>
  <c r="L20" i="24"/>
  <c r="R20" i="24" s="1"/>
  <c r="O19" i="24"/>
  <c r="N19" i="24"/>
  <c r="M19" i="24"/>
  <c r="L19" i="24"/>
  <c r="Q19" i="24" s="1"/>
  <c r="O18" i="24"/>
  <c r="N18" i="24"/>
  <c r="M18" i="24"/>
  <c r="L18" i="24"/>
  <c r="R18" i="24" s="1"/>
  <c r="O16" i="24"/>
  <c r="N16" i="24"/>
  <c r="M16" i="24"/>
  <c r="L16" i="24"/>
  <c r="R16" i="24" s="1"/>
  <c r="O15" i="24"/>
  <c r="N15" i="24"/>
  <c r="M15" i="24"/>
  <c r="L15" i="24"/>
  <c r="Q15" i="24" s="1"/>
  <c r="O14" i="24"/>
  <c r="N14" i="24"/>
  <c r="M14" i="24"/>
  <c r="L14" i="24"/>
  <c r="R14" i="24" s="1"/>
  <c r="O13" i="24"/>
  <c r="N13" i="24"/>
  <c r="M13" i="24"/>
  <c r="L13" i="24"/>
  <c r="R13" i="24" s="1"/>
  <c r="O12" i="24"/>
  <c r="N12" i="24"/>
  <c r="M12" i="24"/>
  <c r="L12" i="24"/>
  <c r="Q12" i="24" s="1"/>
  <c r="O11" i="24"/>
  <c r="N11" i="24"/>
  <c r="M11" i="24"/>
  <c r="L11" i="24"/>
  <c r="R11" i="24" s="1"/>
  <c r="Q127" i="23"/>
  <c r="Q134" i="23" s="1"/>
  <c r="S116" i="23"/>
  <c r="S115" i="23"/>
  <c r="S114" i="23"/>
  <c r="S113" i="23"/>
  <c r="O107" i="23"/>
  <c r="N107" i="23"/>
  <c r="M107" i="23"/>
  <c r="L107" i="23"/>
  <c r="S107" i="23" s="1"/>
  <c r="O106" i="23"/>
  <c r="N106" i="23"/>
  <c r="M106" i="23"/>
  <c r="L106" i="23"/>
  <c r="S105" i="23"/>
  <c r="O105" i="23"/>
  <c r="N105" i="23"/>
  <c r="M105" i="23"/>
  <c r="L105" i="23"/>
  <c r="O104" i="23"/>
  <c r="N104" i="23"/>
  <c r="M104" i="23"/>
  <c r="L104" i="23"/>
  <c r="O103" i="23"/>
  <c r="N103" i="23"/>
  <c r="M103" i="23"/>
  <c r="L103" i="23"/>
  <c r="S103" i="23" s="1"/>
  <c r="O102" i="23"/>
  <c r="N102" i="23"/>
  <c r="M102" i="23"/>
  <c r="L102" i="23"/>
  <c r="O101" i="23"/>
  <c r="N101" i="23"/>
  <c r="M101" i="23"/>
  <c r="L101" i="23"/>
  <c r="S101" i="23" s="1"/>
  <c r="O100" i="23"/>
  <c r="N100" i="23"/>
  <c r="M100" i="23"/>
  <c r="L100" i="23"/>
  <c r="O99" i="23"/>
  <c r="N99" i="23"/>
  <c r="M99" i="23"/>
  <c r="L99" i="23"/>
  <c r="S99" i="23" s="1"/>
  <c r="O98" i="23"/>
  <c r="N98" i="23"/>
  <c r="M98" i="23"/>
  <c r="L98" i="23"/>
  <c r="O97" i="23"/>
  <c r="N97" i="23"/>
  <c r="M97" i="23"/>
  <c r="L97" i="23"/>
  <c r="S97" i="23" s="1"/>
  <c r="O96" i="23"/>
  <c r="N96" i="23"/>
  <c r="M96" i="23"/>
  <c r="L96" i="23"/>
  <c r="O95" i="23"/>
  <c r="N95" i="23"/>
  <c r="M95" i="23"/>
  <c r="L95" i="23"/>
  <c r="O94" i="23"/>
  <c r="N94" i="23"/>
  <c r="M94" i="23"/>
  <c r="L94" i="23"/>
  <c r="O93" i="23"/>
  <c r="N93" i="23"/>
  <c r="M93" i="23"/>
  <c r="L93" i="23"/>
  <c r="S93" i="23" s="1"/>
  <c r="O92" i="23"/>
  <c r="N92" i="23"/>
  <c r="M92" i="23"/>
  <c r="L92" i="23"/>
  <c r="O91" i="23"/>
  <c r="N91" i="23"/>
  <c r="M91" i="23"/>
  <c r="L91" i="23"/>
  <c r="S91" i="23" s="1"/>
  <c r="O90" i="23"/>
  <c r="N90" i="23"/>
  <c r="M90" i="23"/>
  <c r="L90" i="23"/>
  <c r="O89" i="23"/>
  <c r="N89" i="23"/>
  <c r="M89" i="23"/>
  <c r="L89" i="23"/>
  <c r="S89" i="23" s="1"/>
  <c r="O88" i="23"/>
  <c r="N88" i="23"/>
  <c r="M88" i="23"/>
  <c r="L88" i="23"/>
  <c r="O87" i="23"/>
  <c r="N87" i="23"/>
  <c r="M87" i="23"/>
  <c r="L87" i="23"/>
  <c r="O86" i="23"/>
  <c r="N86" i="23"/>
  <c r="M86" i="23"/>
  <c r="L86" i="23"/>
  <c r="S86" i="23" s="1"/>
  <c r="O85" i="23"/>
  <c r="N85" i="23"/>
  <c r="M85" i="23"/>
  <c r="L85" i="23"/>
  <c r="O84" i="23"/>
  <c r="N84" i="23"/>
  <c r="M84" i="23"/>
  <c r="L84" i="23"/>
  <c r="O83" i="23"/>
  <c r="N83" i="23"/>
  <c r="M83" i="23"/>
  <c r="L83" i="23"/>
  <c r="O82" i="23"/>
  <c r="N82" i="23"/>
  <c r="M82" i="23"/>
  <c r="L82" i="23"/>
  <c r="O81" i="23"/>
  <c r="S81" i="23" s="1"/>
  <c r="N81" i="23"/>
  <c r="M81" i="23"/>
  <c r="L81" i="23"/>
  <c r="O80" i="23"/>
  <c r="N80" i="23"/>
  <c r="M80" i="23"/>
  <c r="L80" i="23"/>
  <c r="S80" i="23" s="1"/>
  <c r="O79" i="23"/>
  <c r="N79" i="23"/>
  <c r="M79" i="23"/>
  <c r="L79" i="23"/>
  <c r="O78" i="23"/>
  <c r="N78" i="23"/>
  <c r="M78" i="23"/>
  <c r="L78" i="23"/>
  <c r="S78" i="23" s="1"/>
  <c r="O77" i="23"/>
  <c r="N77" i="23"/>
  <c r="M77" i="23"/>
  <c r="L77" i="23"/>
  <c r="O76" i="23"/>
  <c r="N76" i="23"/>
  <c r="M76" i="23"/>
  <c r="L76" i="23"/>
  <c r="O65" i="23"/>
  <c r="N65" i="23"/>
  <c r="M65" i="23"/>
  <c r="L65" i="23"/>
  <c r="R65" i="23" s="1"/>
  <c r="O64" i="23"/>
  <c r="N64" i="23"/>
  <c r="R64" i="23" s="1"/>
  <c r="M64" i="23"/>
  <c r="L64" i="23"/>
  <c r="O63" i="23"/>
  <c r="N63" i="23"/>
  <c r="R63" i="23" s="1"/>
  <c r="M63" i="23"/>
  <c r="L63" i="23"/>
  <c r="O62" i="23"/>
  <c r="N62" i="23"/>
  <c r="M62" i="23"/>
  <c r="L62" i="23"/>
  <c r="O61" i="23"/>
  <c r="N61" i="23"/>
  <c r="M61" i="23"/>
  <c r="L61" i="23"/>
  <c r="O60" i="23"/>
  <c r="N60" i="23"/>
  <c r="M60" i="23"/>
  <c r="L60" i="23"/>
  <c r="O58" i="23"/>
  <c r="N58" i="23"/>
  <c r="M58" i="23"/>
  <c r="L58" i="23"/>
  <c r="R57" i="23"/>
  <c r="O57" i="23"/>
  <c r="N57" i="23"/>
  <c r="M57" i="23"/>
  <c r="L57" i="23"/>
  <c r="Q57" i="23" s="1"/>
  <c r="O56" i="23"/>
  <c r="N56" i="23"/>
  <c r="M56" i="23"/>
  <c r="L56" i="23"/>
  <c r="R55" i="23"/>
  <c r="O55" i="23"/>
  <c r="N55" i="23"/>
  <c r="M55" i="23"/>
  <c r="L55" i="23"/>
  <c r="Q55" i="23" s="1"/>
  <c r="O54" i="23"/>
  <c r="N54" i="23"/>
  <c r="M54" i="23"/>
  <c r="L54" i="23"/>
  <c r="O53" i="23"/>
  <c r="N53" i="23"/>
  <c r="Q53" i="23" s="1"/>
  <c r="M53" i="23"/>
  <c r="L53" i="23"/>
  <c r="O51" i="23"/>
  <c r="N51" i="23"/>
  <c r="M51" i="23"/>
  <c r="L51" i="23"/>
  <c r="O50" i="23"/>
  <c r="N50" i="23"/>
  <c r="M50" i="23"/>
  <c r="L50" i="23"/>
  <c r="Q50" i="23" s="1"/>
  <c r="Q49" i="23"/>
  <c r="S49" i="23" s="1"/>
  <c r="O49" i="23"/>
  <c r="N49" i="23"/>
  <c r="M49" i="23"/>
  <c r="L49" i="23"/>
  <c r="R49" i="23" s="1"/>
  <c r="O48" i="23"/>
  <c r="N48" i="23"/>
  <c r="M48" i="23"/>
  <c r="L48" i="23"/>
  <c r="Q48" i="23" s="1"/>
  <c r="O47" i="23"/>
  <c r="N47" i="23"/>
  <c r="M47" i="23"/>
  <c r="L47" i="23"/>
  <c r="O46" i="23"/>
  <c r="N46" i="23"/>
  <c r="Q46" i="23" s="1"/>
  <c r="S46" i="23" s="1"/>
  <c r="M46" i="23"/>
  <c r="L46" i="23"/>
  <c r="R46" i="23" s="1"/>
  <c r="O44" i="23"/>
  <c r="N44" i="23"/>
  <c r="M44" i="23"/>
  <c r="L44" i="23"/>
  <c r="R44" i="23" s="1"/>
  <c r="O43" i="23"/>
  <c r="N43" i="23"/>
  <c r="Q43" i="23" s="1"/>
  <c r="M43" i="23"/>
  <c r="L43" i="23"/>
  <c r="O42" i="23"/>
  <c r="N42" i="23"/>
  <c r="M42" i="23"/>
  <c r="L42" i="23"/>
  <c r="R42" i="23" s="1"/>
  <c r="R41" i="23"/>
  <c r="O41" i="23"/>
  <c r="N41" i="23"/>
  <c r="M41" i="23"/>
  <c r="L41" i="23"/>
  <c r="Q41" i="23" s="1"/>
  <c r="O40" i="23"/>
  <c r="N40" i="23"/>
  <c r="M40" i="23"/>
  <c r="L40" i="23"/>
  <c r="R40" i="23" s="1"/>
  <c r="O39" i="23"/>
  <c r="N39" i="23"/>
  <c r="M39" i="23"/>
  <c r="L39" i="23"/>
  <c r="O37" i="23"/>
  <c r="N37" i="23"/>
  <c r="R37" i="23" s="1"/>
  <c r="M37" i="23"/>
  <c r="L37" i="23"/>
  <c r="O36" i="23"/>
  <c r="N36" i="23"/>
  <c r="M36" i="23"/>
  <c r="L36" i="23"/>
  <c r="R36" i="23" s="1"/>
  <c r="O35" i="23"/>
  <c r="N35" i="23"/>
  <c r="M35" i="23"/>
  <c r="L35" i="23"/>
  <c r="R35" i="23" s="1"/>
  <c r="O34" i="23"/>
  <c r="N34" i="23"/>
  <c r="M34" i="23"/>
  <c r="L34" i="23"/>
  <c r="R34" i="23" s="1"/>
  <c r="O33" i="23"/>
  <c r="N33" i="23"/>
  <c r="M33" i="23"/>
  <c r="L33" i="23"/>
  <c r="R33" i="23" s="1"/>
  <c r="O32" i="23"/>
  <c r="N32" i="23"/>
  <c r="M32" i="23"/>
  <c r="L32" i="23"/>
  <c r="Q32" i="23" s="1"/>
  <c r="O30" i="23"/>
  <c r="N30" i="23"/>
  <c r="M30" i="23"/>
  <c r="L30" i="23"/>
  <c r="O29" i="23"/>
  <c r="N29" i="23"/>
  <c r="R29" i="23" s="1"/>
  <c r="M29" i="23"/>
  <c r="L29" i="23"/>
  <c r="O28" i="23"/>
  <c r="N28" i="23"/>
  <c r="M28" i="23"/>
  <c r="L28" i="23"/>
  <c r="R27" i="23"/>
  <c r="Q27" i="23"/>
  <c r="S27" i="23" s="1"/>
  <c r="O27" i="23"/>
  <c r="N27" i="23"/>
  <c r="M27" i="23"/>
  <c r="L27" i="23"/>
  <c r="O26" i="23"/>
  <c r="N26" i="23"/>
  <c r="M26" i="23"/>
  <c r="L26" i="23"/>
  <c r="R26" i="23" s="1"/>
  <c r="O25" i="23"/>
  <c r="N25" i="23"/>
  <c r="Q25" i="23" s="1"/>
  <c r="M25" i="23"/>
  <c r="L25" i="23"/>
  <c r="O23" i="23"/>
  <c r="N23" i="23"/>
  <c r="M23" i="23"/>
  <c r="L23" i="23"/>
  <c r="R23" i="23" s="1"/>
  <c r="O22" i="23"/>
  <c r="N22" i="23"/>
  <c r="M22" i="23"/>
  <c r="L22" i="23"/>
  <c r="O21" i="23"/>
  <c r="N21" i="23"/>
  <c r="M21" i="23"/>
  <c r="L21" i="23"/>
  <c r="Q21" i="23" s="1"/>
  <c r="O20" i="23"/>
  <c r="N20" i="23"/>
  <c r="M20" i="23"/>
  <c r="L20" i="23"/>
  <c r="Q20" i="23" s="1"/>
  <c r="O19" i="23"/>
  <c r="N19" i="23"/>
  <c r="M19" i="23"/>
  <c r="L19" i="23"/>
  <c r="O18" i="23"/>
  <c r="N18" i="23"/>
  <c r="Q18" i="23" s="1"/>
  <c r="S18" i="23" s="1"/>
  <c r="M18" i="23"/>
  <c r="L18" i="23"/>
  <c r="R18" i="23" s="1"/>
  <c r="O16" i="23"/>
  <c r="N16" i="23"/>
  <c r="M16" i="23"/>
  <c r="L16" i="23"/>
  <c r="O15" i="23"/>
  <c r="N15" i="23"/>
  <c r="Q15" i="23" s="1"/>
  <c r="M15" i="23"/>
  <c r="L15" i="23"/>
  <c r="O14" i="23"/>
  <c r="N14" i="23"/>
  <c r="M14" i="23"/>
  <c r="L14" i="23"/>
  <c r="O13" i="23"/>
  <c r="N13" i="23"/>
  <c r="M13" i="23"/>
  <c r="L13" i="23"/>
  <c r="R13" i="23" s="1"/>
  <c r="O12" i="23"/>
  <c r="N12" i="23"/>
  <c r="M12" i="23"/>
  <c r="L12" i="23"/>
  <c r="R12" i="23" s="1"/>
  <c r="O11" i="23"/>
  <c r="N11" i="23"/>
  <c r="R11" i="23" s="1"/>
  <c r="M11" i="23"/>
  <c r="L11" i="23"/>
  <c r="Q127" i="22"/>
  <c r="Q134" i="22" s="1"/>
  <c r="S116" i="22"/>
  <c r="S115" i="22"/>
  <c r="S114" i="22"/>
  <c r="S113" i="22"/>
  <c r="O107" i="22"/>
  <c r="N107" i="22"/>
  <c r="M107" i="22"/>
  <c r="L107" i="22"/>
  <c r="O106" i="22"/>
  <c r="N106" i="22"/>
  <c r="M106" i="22"/>
  <c r="L106" i="22"/>
  <c r="O105" i="22"/>
  <c r="N105" i="22"/>
  <c r="M105" i="22"/>
  <c r="L105" i="22"/>
  <c r="O104" i="22"/>
  <c r="N104" i="22"/>
  <c r="M104" i="22"/>
  <c r="L104" i="22"/>
  <c r="O103" i="22"/>
  <c r="N103" i="22"/>
  <c r="M103" i="22"/>
  <c r="L103" i="22"/>
  <c r="O102" i="22"/>
  <c r="N102" i="22"/>
  <c r="M102" i="22"/>
  <c r="L102" i="22"/>
  <c r="O101" i="22"/>
  <c r="N101" i="22"/>
  <c r="M101" i="22"/>
  <c r="L101" i="22"/>
  <c r="S101" i="22" s="1"/>
  <c r="O100" i="22"/>
  <c r="N100" i="22"/>
  <c r="M100" i="22"/>
  <c r="L100" i="22"/>
  <c r="O99" i="22"/>
  <c r="N99" i="22"/>
  <c r="M99" i="22"/>
  <c r="L99" i="22"/>
  <c r="S99" i="22" s="1"/>
  <c r="O98" i="22"/>
  <c r="N98" i="22"/>
  <c r="M98" i="22"/>
  <c r="L98" i="22"/>
  <c r="O97" i="22"/>
  <c r="N97" i="22"/>
  <c r="M97" i="22"/>
  <c r="L97" i="22"/>
  <c r="S97" i="22" s="1"/>
  <c r="O96" i="22"/>
  <c r="N96" i="22"/>
  <c r="M96" i="22"/>
  <c r="L96" i="22"/>
  <c r="O95" i="22"/>
  <c r="N95" i="22"/>
  <c r="M95" i="22"/>
  <c r="L95" i="22"/>
  <c r="S95" i="22" s="1"/>
  <c r="O94" i="22"/>
  <c r="N94" i="22"/>
  <c r="M94" i="22"/>
  <c r="L94" i="22"/>
  <c r="S93" i="22"/>
  <c r="O93" i="22"/>
  <c r="N93" i="22"/>
  <c r="M93" i="22"/>
  <c r="L93" i="22"/>
  <c r="O92" i="22"/>
  <c r="N92" i="22"/>
  <c r="M92" i="22"/>
  <c r="L92" i="22"/>
  <c r="O91" i="22"/>
  <c r="N91" i="22"/>
  <c r="S91" i="22" s="1"/>
  <c r="M91" i="22"/>
  <c r="L91" i="22"/>
  <c r="O90" i="22"/>
  <c r="N90" i="22"/>
  <c r="M90" i="22"/>
  <c r="S90" i="22" s="1"/>
  <c r="L90" i="22"/>
  <c r="O89" i="22"/>
  <c r="N89" i="22"/>
  <c r="M89" i="22"/>
  <c r="L89" i="22"/>
  <c r="O88" i="22"/>
  <c r="N88" i="22"/>
  <c r="M88" i="22"/>
  <c r="L88" i="22"/>
  <c r="O87" i="22"/>
  <c r="N87" i="22"/>
  <c r="M87" i="22"/>
  <c r="L87" i="22"/>
  <c r="O86" i="22"/>
  <c r="N86" i="22"/>
  <c r="M86" i="22"/>
  <c r="L86" i="22"/>
  <c r="O85" i="22"/>
  <c r="S85" i="22" s="1"/>
  <c r="N85" i="22"/>
  <c r="M85" i="22"/>
  <c r="L85" i="22"/>
  <c r="O84" i="22"/>
  <c r="N84" i="22"/>
  <c r="M84" i="22"/>
  <c r="L84" i="22"/>
  <c r="S83" i="22"/>
  <c r="O83" i="22"/>
  <c r="N83" i="22"/>
  <c r="M83" i="22"/>
  <c r="L83" i="22"/>
  <c r="O82" i="22"/>
  <c r="N82" i="22"/>
  <c r="M82" i="22"/>
  <c r="L82" i="22"/>
  <c r="O81" i="22"/>
  <c r="N81" i="22"/>
  <c r="M81" i="22"/>
  <c r="L81" i="22"/>
  <c r="O80" i="22"/>
  <c r="N80" i="22"/>
  <c r="M80" i="22"/>
  <c r="L80" i="22"/>
  <c r="O79" i="22"/>
  <c r="N79" i="22"/>
  <c r="M79" i="22"/>
  <c r="L79" i="22"/>
  <c r="O78" i="22"/>
  <c r="N78" i="22"/>
  <c r="M78" i="22"/>
  <c r="L78" i="22"/>
  <c r="S78" i="22" s="1"/>
  <c r="O77" i="22"/>
  <c r="N77" i="22"/>
  <c r="M77" i="22"/>
  <c r="L77" i="22"/>
  <c r="S77" i="22" s="1"/>
  <c r="O76" i="22"/>
  <c r="N76" i="22"/>
  <c r="M76" i="22"/>
  <c r="S76" i="22" s="1"/>
  <c r="L76" i="22"/>
  <c r="O65" i="22"/>
  <c r="N65" i="22"/>
  <c r="Q65" i="22" s="1"/>
  <c r="M65" i="22"/>
  <c r="L65" i="22"/>
  <c r="R65" i="22" s="1"/>
  <c r="O64" i="22"/>
  <c r="N64" i="22"/>
  <c r="M64" i="22"/>
  <c r="L64" i="22"/>
  <c r="R64" i="22" s="1"/>
  <c r="R63" i="22"/>
  <c r="O63" i="22"/>
  <c r="N63" i="22"/>
  <c r="M63" i="22"/>
  <c r="L63" i="22"/>
  <c r="Q63" i="22" s="1"/>
  <c r="Q62" i="22"/>
  <c r="O62" i="22"/>
  <c r="N62" i="22"/>
  <c r="M62" i="22"/>
  <c r="L62" i="22"/>
  <c r="R62" i="22" s="1"/>
  <c r="R61" i="22"/>
  <c r="O61" i="22"/>
  <c r="N61" i="22"/>
  <c r="M61" i="22"/>
  <c r="L61" i="22"/>
  <c r="Q61" i="22" s="1"/>
  <c r="Q60" i="22"/>
  <c r="O60" i="22"/>
  <c r="N60" i="22"/>
  <c r="R60" i="22" s="1"/>
  <c r="M60" i="22"/>
  <c r="L60" i="22"/>
  <c r="R58" i="22"/>
  <c r="Q58" i="22"/>
  <c r="S58" i="22" s="1"/>
  <c r="O58" i="22"/>
  <c r="N58" i="22"/>
  <c r="M58" i="22"/>
  <c r="L58" i="22"/>
  <c r="O57" i="22"/>
  <c r="N57" i="22"/>
  <c r="M57" i="22"/>
  <c r="L57" i="22"/>
  <c r="R57" i="22" s="1"/>
  <c r="O56" i="22"/>
  <c r="N56" i="22"/>
  <c r="R56" i="22" s="1"/>
  <c r="M56" i="22"/>
  <c r="L56" i="22"/>
  <c r="O55" i="22"/>
  <c r="N55" i="22"/>
  <c r="M55" i="22"/>
  <c r="L55" i="22"/>
  <c r="R55" i="22" s="1"/>
  <c r="O54" i="22"/>
  <c r="N54" i="22"/>
  <c r="M54" i="22"/>
  <c r="L54" i="22"/>
  <c r="Q54" i="22" s="1"/>
  <c r="Q53" i="22"/>
  <c r="O53" i="22"/>
  <c r="N53" i="22"/>
  <c r="M53" i="22"/>
  <c r="L53" i="22"/>
  <c r="R53" i="22" s="1"/>
  <c r="R51" i="22"/>
  <c r="O51" i="22"/>
  <c r="N51" i="22"/>
  <c r="M51" i="22"/>
  <c r="L51" i="22"/>
  <c r="Q51" i="22" s="1"/>
  <c r="Q50" i="22"/>
  <c r="O50" i="22"/>
  <c r="N50" i="22"/>
  <c r="R50" i="22" s="1"/>
  <c r="M50" i="22"/>
  <c r="L50" i="22"/>
  <c r="R49" i="22"/>
  <c r="Q49" i="22"/>
  <c r="O49" i="22"/>
  <c r="N49" i="22"/>
  <c r="M49" i="22"/>
  <c r="L49" i="22"/>
  <c r="O48" i="22"/>
  <c r="N48" i="22"/>
  <c r="M48" i="22"/>
  <c r="L48" i="22"/>
  <c r="Q48" i="22" s="1"/>
  <c r="O47" i="22"/>
  <c r="N47" i="22"/>
  <c r="Q47" i="22" s="1"/>
  <c r="M47" i="22"/>
  <c r="L47" i="22"/>
  <c r="R47" i="22" s="1"/>
  <c r="O46" i="22"/>
  <c r="N46" i="22"/>
  <c r="M46" i="22"/>
  <c r="L46" i="22"/>
  <c r="R46" i="22" s="1"/>
  <c r="O44" i="22"/>
  <c r="N44" i="22"/>
  <c r="M44" i="22"/>
  <c r="L44" i="22"/>
  <c r="Q44" i="22" s="1"/>
  <c r="Q43" i="22"/>
  <c r="O43" i="22"/>
  <c r="N43" i="22"/>
  <c r="M43" i="22"/>
  <c r="L43" i="22"/>
  <c r="R43" i="22" s="1"/>
  <c r="R42" i="22"/>
  <c r="O42" i="22"/>
  <c r="N42" i="22"/>
  <c r="M42" i="22"/>
  <c r="L42" i="22"/>
  <c r="Q42" i="22" s="1"/>
  <c r="S42" i="22" s="1"/>
  <c r="Q41" i="22"/>
  <c r="O41" i="22"/>
  <c r="N41" i="22"/>
  <c r="R41" i="22" s="1"/>
  <c r="M41" i="22"/>
  <c r="L41" i="22"/>
  <c r="R40" i="22"/>
  <c r="Q40" i="22"/>
  <c r="O40" i="22"/>
  <c r="N40" i="22"/>
  <c r="M40" i="22"/>
  <c r="L40" i="22"/>
  <c r="O39" i="22"/>
  <c r="N39" i="22"/>
  <c r="M39" i="22"/>
  <c r="L39" i="22"/>
  <c r="R39" i="22" s="1"/>
  <c r="O37" i="22"/>
  <c r="N37" i="22"/>
  <c r="Q37" i="22" s="1"/>
  <c r="M37" i="22"/>
  <c r="L37" i="22"/>
  <c r="R37" i="22" s="1"/>
  <c r="O36" i="22"/>
  <c r="N36" i="22"/>
  <c r="M36" i="22"/>
  <c r="L36" i="22"/>
  <c r="R36" i="22" s="1"/>
  <c r="R35" i="22"/>
  <c r="O35" i="22"/>
  <c r="N35" i="22"/>
  <c r="M35" i="22"/>
  <c r="L35" i="22"/>
  <c r="Q35" i="22" s="1"/>
  <c r="S35" i="22" s="1"/>
  <c r="Q34" i="22"/>
  <c r="O34" i="22"/>
  <c r="N34" i="22"/>
  <c r="M34" i="22"/>
  <c r="L34" i="22"/>
  <c r="R34" i="22" s="1"/>
  <c r="R33" i="22"/>
  <c r="O33" i="22"/>
  <c r="N33" i="22"/>
  <c r="M33" i="22"/>
  <c r="L33" i="22"/>
  <c r="Q33" i="22" s="1"/>
  <c r="Q32" i="22"/>
  <c r="O32" i="22"/>
  <c r="N32" i="22"/>
  <c r="R32" i="22" s="1"/>
  <c r="M32" i="22"/>
  <c r="L32" i="22"/>
  <c r="R30" i="22"/>
  <c r="Q30" i="22"/>
  <c r="O30" i="22"/>
  <c r="N30" i="22"/>
  <c r="M30" i="22"/>
  <c r="L30" i="22"/>
  <c r="O29" i="22"/>
  <c r="N29" i="22"/>
  <c r="M29" i="22"/>
  <c r="L29" i="22"/>
  <c r="R29" i="22" s="1"/>
  <c r="O28" i="22"/>
  <c r="N28" i="22"/>
  <c r="Q28" i="22" s="1"/>
  <c r="M28" i="22"/>
  <c r="L28" i="22"/>
  <c r="R28" i="22" s="1"/>
  <c r="O27" i="22"/>
  <c r="N27" i="22"/>
  <c r="M27" i="22"/>
  <c r="L27" i="22"/>
  <c r="R27" i="22" s="1"/>
  <c r="R26" i="22"/>
  <c r="O26" i="22"/>
  <c r="N26" i="22"/>
  <c r="M26" i="22"/>
  <c r="L26" i="22"/>
  <c r="Q26" i="22" s="1"/>
  <c r="Q25" i="22"/>
  <c r="O25" i="22"/>
  <c r="N25" i="22"/>
  <c r="M25" i="22"/>
  <c r="L25" i="22"/>
  <c r="R25" i="22" s="1"/>
  <c r="S25" i="22" s="1"/>
  <c r="R23" i="22"/>
  <c r="O23" i="22"/>
  <c r="N23" i="22"/>
  <c r="M23" i="22"/>
  <c r="L23" i="22"/>
  <c r="Q23" i="22" s="1"/>
  <c r="Q22" i="22"/>
  <c r="O22" i="22"/>
  <c r="N22" i="22"/>
  <c r="R22" i="22" s="1"/>
  <c r="M22" i="22"/>
  <c r="L22" i="22"/>
  <c r="R21" i="22"/>
  <c r="Q21" i="22"/>
  <c r="O21" i="22"/>
  <c r="N21" i="22"/>
  <c r="M21" i="22"/>
  <c r="L21" i="22"/>
  <c r="O20" i="22"/>
  <c r="N20" i="22"/>
  <c r="M20" i="22"/>
  <c r="L20" i="22"/>
  <c r="R20" i="22" s="1"/>
  <c r="O19" i="22"/>
  <c r="N19" i="22"/>
  <c r="Q19" i="22" s="1"/>
  <c r="M19" i="22"/>
  <c r="L19" i="22"/>
  <c r="R19" i="22" s="1"/>
  <c r="O18" i="22"/>
  <c r="N18" i="22"/>
  <c r="M18" i="22"/>
  <c r="L18" i="22"/>
  <c r="R18" i="22" s="1"/>
  <c r="R16" i="22"/>
  <c r="O16" i="22"/>
  <c r="N16" i="22"/>
  <c r="M16" i="22"/>
  <c r="L16" i="22"/>
  <c r="Q16" i="22" s="1"/>
  <c r="Q15" i="22"/>
  <c r="O15" i="22"/>
  <c r="N15" i="22"/>
  <c r="M15" i="22"/>
  <c r="L15" i="22"/>
  <c r="R15" i="22" s="1"/>
  <c r="S15" i="22" s="1"/>
  <c r="R14" i="22"/>
  <c r="O14" i="22"/>
  <c r="N14" i="22"/>
  <c r="M14" i="22"/>
  <c r="L14" i="22"/>
  <c r="Q14" i="22" s="1"/>
  <c r="Q13" i="22"/>
  <c r="O13" i="22"/>
  <c r="N13" i="22"/>
  <c r="R13" i="22" s="1"/>
  <c r="M13" i="22"/>
  <c r="L13" i="22"/>
  <c r="R12" i="22"/>
  <c r="Q12" i="22"/>
  <c r="S12" i="22" s="1"/>
  <c r="O12" i="22"/>
  <c r="N12" i="22"/>
  <c r="M12" i="22"/>
  <c r="L12" i="22"/>
  <c r="O11" i="22"/>
  <c r="N11" i="22"/>
  <c r="M11" i="22"/>
  <c r="L11" i="22"/>
  <c r="Q134" i="20"/>
  <c r="Q127" i="20"/>
  <c r="S116" i="20"/>
  <c r="S115" i="20"/>
  <c r="S114" i="20"/>
  <c r="S113" i="20"/>
  <c r="O107" i="20"/>
  <c r="N107" i="20"/>
  <c r="M107" i="20"/>
  <c r="L107" i="20"/>
  <c r="S107" i="20" s="1"/>
  <c r="O106" i="20"/>
  <c r="N106" i="20"/>
  <c r="M106" i="20"/>
  <c r="L106" i="20"/>
  <c r="O105" i="20"/>
  <c r="N105" i="20"/>
  <c r="M105" i="20"/>
  <c r="L105" i="20"/>
  <c r="S105" i="20" s="1"/>
  <c r="O104" i="20"/>
  <c r="N104" i="20"/>
  <c r="M104" i="20"/>
  <c r="L104" i="20"/>
  <c r="S104" i="20" s="1"/>
  <c r="O103" i="20"/>
  <c r="S103" i="20" s="1"/>
  <c r="N103" i="20"/>
  <c r="M103" i="20"/>
  <c r="L103" i="20"/>
  <c r="O102" i="20"/>
  <c r="N102" i="20"/>
  <c r="M102" i="20"/>
  <c r="L102" i="20"/>
  <c r="O101" i="20"/>
  <c r="N101" i="20"/>
  <c r="M101" i="20"/>
  <c r="L101" i="20"/>
  <c r="S101" i="20" s="1"/>
  <c r="O100" i="20"/>
  <c r="N100" i="20"/>
  <c r="M100" i="20"/>
  <c r="L100" i="20"/>
  <c r="O99" i="20"/>
  <c r="N99" i="20"/>
  <c r="M99" i="20"/>
  <c r="L99" i="20"/>
  <c r="S99" i="20" s="1"/>
  <c r="S98" i="20"/>
  <c r="O98" i="20"/>
  <c r="N98" i="20"/>
  <c r="M98" i="20"/>
  <c r="L98" i="20"/>
  <c r="O97" i="20"/>
  <c r="S97" i="20" s="1"/>
  <c r="N97" i="20"/>
  <c r="M97" i="20"/>
  <c r="L97" i="20"/>
  <c r="O96" i="20"/>
  <c r="N96" i="20"/>
  <c r="M96" i="20"/>
  <c r="L96" i="20"/>
  <c r="O95" i="20"/>
  <c r="N95" i="20"/>
  <c r="M95" i="20"/>
  <c r="L95" i="20"/>
  <c r="S95" i="20" s="1"/>
  <c r="O94" i="20"/>
  <c r="N94" i="20"/>
  <c r="M94" i="20"/>
  <c r="L94" i="20"/>
  <c r="O93" i="20"/>
  <c r="N93" i="20"/>
  <c r="M93" i="20"/>
  <c r="L93" i="20"/>
  <c r="S93" i="20" s="1"/>
  <c r="O92" i="20"/>
  <c r="N92" i="20"/>
  <c r="M92" i="20"/>
  <c r="L92" i="20"/>
  <c r="O91" i="20"/>
  <c r="S91" i="20" s="1"/>
  <c r="N91" i="20"/>
  <c r="M91" i="20"/>
  <c r="L91" i="20"/>
  <c r="O90" i="20"/>
  <c r="N90" i="20"/>
  <c r="S90" i="20" s="1"/>
  <c r="M90" i="20"/>
  <c r="L90" i="20"/>
  <c r="O89" i="20"/>
  <c r="N89" i="20"/>
  <c r="M89" i="20"/>
  <c r="L89" i="20"/>
  <c r="S89" i="20" s="1"/>
  <c r="O88" i="20"/>
  <c r="N88" i="20"/>
  <c r="M88" i="20"/>
  <c r="L88" i="20"/>
  <c r="O87" i="20"/>
  <c r="N87" i="20"/>
  <c r="M87" i="20"/>
  <c r="L87" i="20"/>
  <c r="S87" i="20" s="1"/>
  <c r="S86" i="20"/>
  <c r="O86" i="20"/>
  <c r="N86" i="20"/>
  <c r="M86" i="20"/>
  <c r="L86" i="20"/>
  <c r="O85" i="20"/>
  <c r="S85" i="20" s="1"/>
  <c r="N85" i="20"/>
  <c r="M85" i="20"/>
  <c r="L85" i="20"/>
  <c r="O84" i="20"/>
  <c r="N84" i="20"/>
  <c r="M84" i="20"/>
  <c r="L84" i="20"/>
  <c r="O83" i="20"/>
  <c r="N83" i="20"/>
  <c r="M83" i="20"/>
  <c r="L83" i="20"/>
  <c r="S83" i="20" s="1"/>
  <c r="O82" i="20"/>
  <c r="N82" i="20"/>
  <c r="M82" i="20"/>
  <c r="L82" i="20"/>
  <c r="S82" i="20" s="1"/>
  <c r="O81" i="20"/>
  <c r="N81" i="20"/>
  <c r="M81" i="20"/>
  <c r="L81" i="20"/>
  <c r="S81" i="20" s="1"/>
  <c r="O80" i="20"/>
  <c r="N80" i="20"/>
  <c r="M80" i="20"/>
  <c r="L80" i="20"/>
  <c r="O79" i="20"/>
  <c r="N79" i="20"/>
  <c r="M79" i="20"/>
  <c r="L79" i="20"/>
  <c r="O78" i="20"/>
  <c r="N78" i="20"/>
  <c r="M78" i="20"/>
  <c r="L78" i="20"/>
  <c r="O77" i="20"/>
  <c r="N77" i="20"/>
  <c r="M77" i="20"/>
  <c r="L77" i="20"/>
  <c r="S77" i="20" s="1"/>
  <c r="O76" i="20"/>
  <c r="N76" i="20"/>
  <c r="M76" i="20"/>
  <c r="L76" i="20"/>
  <c r="O65" i="20"/>
  <c r="N65" i="20"/>
  <c r="Q65" i="20" s="1"/>
  <c r="M65" i="20"/>
  <c r="L65" i="20"/>
  <c r="R65" i="20" s="1"/>
  <c r="R64" i="20"/>
  <c r="Q64" i="20"/>
  <c r="O64" i="20"/>
  <c r="N64" i="20"/>
  <c r="M64" i="20"/>
  <c r="L64" i="20"/>
  <c r="R63" i="20"/>
  <c r="Q63" i="20"/>
  <c r="O63" i="20"/>
  <c r="N63" i="20"/>
  <c r="M63" i="20"/>
  <c r="L63" i="20"/>
  <c r="R62" i="20"/>
  <c r="O62" i="20"/>
  <c r="N62" i="20"/>
  <c r="M62" i="20"/>
  <c r="L62" i="20"/>
  <c r="Q62" i="20" s="1"/>
  <c r="S62" i="20" s="1"/>
  <c r="O61" i="20"/>
  <c r="N61" i="20"/>
  <c r="M61" i="20"/>
  <c r="L61" i="20"/>
  <c r="R61" i="20" s="1"/>
  <c r="O60" i="20"/>
  <c r="N60" i="20"/>
  <c r="M60" i="20"/>
  <c r="L60" i="20"/>
  <c r="R60" i="20" s="1"/>
  <c r="O58" i="20"/>
  <c r="N58" i="20"/>
  <c r="R58" i="20" s="1"/>
  <c r="M58" i="20"/>
  <c r="L58" i="20"/>
  <c r="R57" i="20"/>
  <c r="Q57" i="20"/>
  <c r="S57" i="20" s="1"/>
  <c r="O57" i="20"/>
  <c r="N57" i="20"/>
  <c r="M57" i="20"/>
  <c r="L57" i="20"/>
  <c r="R56" i="20"/>
  <c r="Q56" i="20"/>
  <c r="S56" i="20" s="1"/>
  <c r="O56" i="20"/>
  <c r="N56" i="20"/>
  <c r="M56" i="20"/>
  <c r="L56" i="20"/>
  <c r="R55" i="20"/>
  <c r="O55" i="20"/>
  <c r="N55" i="20"/>
  <c r="M55" i="20"/>
  <c r="L55" i="20"/>
  <c r="Q55" i="20" s="1"/>
  <c r="O54" i="20"/>
  <c r="N54" i="20"/>
  <c r="M54" i="20"/>
  <c r="L54" i="20"/>
  <c r="R54" i="20" s="1"/>
  <c r="O53" i="20"/>
  <c r="N53" i="20"/>
  <c r="M53" i="20"/>
  <c r="L53" i="20"/>
  <c r="R53" i="20" s="1"/>
  <c r="O51" i="20"/>
  <c r="N51" i="20"/>
  <c r="Q51" i="20" s="1"/>
  <c r="M51" i="20"/>
  <c r="L51" i="20"/>
  <c r="R50" i="20"/>
  <c r="Q50" i="20"/>
  <c r="S50" i="20" s="1"/>
  <c r="O50" i="20"/>
  <c r="N50" i="20"/>
  <c r="M50" i="20"/>
  <c r="L50" i="20"/>
  <c r="R49" i="20"/>
  <c r="Q49" i="20"/>
  <c r="S49" i="20" s="1"/>
  <c r="O49" i="20"/>
  <c r="N49" i="20"/>
  <c r="M49" i="20"/>
  <c r="L49" i="20"/>
  <c r="R48" i="20"/>
  <c r="O48" i="20"/>
  <c r="N48" i="20"/>
  <c r="M48" i="20"/>
  <c r="L48" i="20"/>
  <c r="Q48" i="20" s="1"/>
  <c r="O47" i="20"/>
  <c r="N47" i="20"/>
  <c r="M47" i="20"/>
  <c r="L47" i="20"/>
  <c r="R47" i="20" s="1"/>
  <c r="O46" i="20"/>
  <c r="N46" i="20"/>
  <c r="M46" i="20"/>
  <c r="L46" i="20"/>
  <c r="R46" i="20" s="1"/>
  <c r="O44" i="20"/>
  <c r="N44" i="20"/>
  <c r="Q44" i="20" s="1"/>
  <c r="M44" i="20"/>
  <c r="L44" i="20"/>
  <c r="R43" i="20"/>
  <c r="Q43" i="20"/>
  <c r="S43" i="20" s="1"/>
  <c r="O43" i="20"/>
  <c r="N43" i="20"/>
  <c r="M43" i="20"/>
  <c r="L43" i="20"/>
  <c r="R42" i="20"/>
  <c r="Q42" i="20"/>
  <c r="O42" i="20"/>
  <c r="N42" i="20"/>
  <c r="M42" i="20"/>
  <c r="L42" i="20"/>
  <c r="R41" i="20"/>
  <c r="O41" i="20"/>
  <c r="N41" i="20"/>
  <c r="M41" i="20"/>
  <c r="L41" i="20"/>
  <c r="Q41" i="20" s="1"/>
  <c r="S41" i="20" s="1"/>
  <c r="O40" i="20"/>
  <c r="N40" i="20"/>
  <c r="M40" i="20"/>
  <c r="L40" i="20"/>
  <c r="R40" i="20" s="1"/>
  <c r="O39" i="20"/>
  <c r="N39" i="20"/>
  <c r="M39" i="20"/>
  <c r="L39" i="20"/>
  <c r="R39" i="20" s="1"/>
  <c r="O37" i="20"/>
  <c r="N37" i="20"/>
  <c r="Q37" i="20" s="1"/>
  <c r="M37" i="20"/>
  <c r="L37" i="20"/>
  <c r="R37" i="20" s="1"/>
  <c r="R36" i="20"/>
  <c r="Q36" i="20"/>
  <c r="O36" i="20"/>
  <c r="N36" i="20"/>
  <c r="M36" i="20"/>
  <c r="L36" i="20"/>
  <c r="R35" i="20"/>
  <c r="Q35" i="20"/>
  <c r="S35" i="20" s="1"/>
  <c r="O35" i="20"/>
  <c r="N35" i="20"/>
  <c r="M35" i="20"/>
  <c r="L35" i="20"/>
  <c r="R34" i="20"/>
  <c r="O34" i="20"/>
  <c r="N34" i="20"/>
  <c r="M34" i="20"/>
  <c r="L34" i="20"/>
  <c r="Q34" i="20" s="1"/>
  <c r="O33" i="20"/>
  <c r="N33" i="20"/>
  <c r="M33" i="20"/>
  <c r="L33" i="20"/>
  <c r="R33" i="20" s="1"/>
  <c r="O32" i="20"/>
  <c r="N32" i="20"/>
  <c r="M32" i="20"/>
  <c r="L32" i="20"/>
  <c r="R32" i="20" s="1"/>
  <c r="O30" i="20"/>
  <c r="N30" i="20"/>
  <c r="Q30" i="20" s="1"/>
  <c r="M30" i="20"/>
  <c r="L30" i="20"/>
  <c r="R30" i="20" s="1"/>
  <c r="R29" i="20"/>
  <c r="Q29" i="20"/>
  <c r="O29" i="20"/>
  <c r="N29" i="20"/>
  <c r="M29" i="20"/>
  <c r="L29" i="20"/>
  <c r="R28" i="20"/>
  <c r="Q28" i="20"/>
  <c r="S28" i="20" s="1"/>
  <c r="O28" i="20"/>
  <c r="N28" i="20"/>
  <c r="M28" i="20"/>
  <c r="L28" i="20"/>
  <c r="R27" i="20"/>
  <c r="O27" i="20"/>
  <c r="N27" i="20"/>
  <c r="M27" i="20"/>
  <c r="L27" i="20"/>
  <c r="Q27" i="20" s="1"/>
  <c r="S27" i="20" s="1"/>
  <c r="O26" i="20"/>
  <c r="N26" i="20"/>
  <c r="M26" i="20"/>
  <c r="L26" i="20"/>
  <c r="R26" i="20" s="1"/>
  <c r="O25" i="20"/>
  <c r="N25" i="20"/>
  <c r="M25" i="20"/>
  <c r="L25" i="20"/>
  <c r="R25" i="20" s="1"/>
  <c r="O23" i="20"/>
  <c r="N23" i="20"/>
  <c r="Q23" i="20" s="1"/>
  <c r="M23" i="20"/>
  <c r="L23" i="20"/>
  <c r="R23" i="20" s="1"/>
  <c r="R22" i="20"/>
  <c r="Q22" i="20"/>
  <c r="S22" i="20" s="1"/>
  <c r="O22" i="20"/>
  <c r="N22" i="20"/>
  <c r="M22" i="20"/>
  <c r="L22" i="20"/>
  <c r="R21" i="20"/>
  <c r="Q21" i="20"/>
  <c r="O21" i="20"/>
  <c r="N21" i="20"/>
  <c r="M21" i="20"/>
  <c r="L21" i="20"/>
  <c r="R20" i="20"/>
  <c r="O20" i="20"/>
  <c r="N20" i="20"/>
  <c r="M20" i="20"/>
  <c r="L20" i="20"/>
  <c r="Q20" i="20" s="1"/>
  <c r="O19" i="20"/>
  <c r="N19" i="20"/>
  <c r="M19" i="20"/>
  <c r="L19" i="20"/>
  <c r="R19" i="20" s="1"/>
  <c r="O18" i="20"/>
  <c r="N18" i="20"/>
  <c r="M18" i="20"/>
  <c r="L18" i="20"/>
  <c r="R18" i="20" s="1"/>
  <c r="O16" i="20"/>
  <c r="N16" i="20"/>
  <c r="Q16" i="20" s="1"/>
  <c r="M16" i="20"/>
  <c r="L16" i="20"/>
  <c r="R16" i="20" s="1"/>
  <c r="R15" i="20"/>
  <c r="Q15" i="20"/>
  <c r="O15" i="20"/>
  <c r="N15" i="20"/>
  <c r="M15" i="20"/>
  <c r="L15" i="20"/>
  <c r="R14" i="20"/>
  <c r="Q14" i="20"/>
  <c r="O14" i="20"/>
  <c r="N14" i="20"/>
  <c r="M14" i="20"/>
  <c r="L14" i="20"/>
  <c r="R13" i="20"/>
  <c r="O13" i="20"/>
  <c r="N13" i="20"/>
  <c r="M13" i="20"/>
  <c r="L13" i="20"/>
  <c r="Q13" i="20" s="1"/>
  <c r="O12" i="20"/>
  <c r="N12" i="20"/>
  <c r="M12" i="20"/>
  <c r="L12" i="20"/>
  <c r="R12" i="20" s="1"/>
  <c r="O11" i="20"/>
  <c r="N11" i="20"/>
  <c r="Q11" i="20" s="1"/>
  <c r="M11" i="20"/>
  <c r="L11" i="20"/>
  <c r="S116" i="19"/>
  <c r="S115" i="19"/>
  <c r="S114" i="19"/>
  <c r="S113" i="19"/>
  <c r="O107" i="19"/>
  <c r="N107" i="19"/>
  <c r="M107" i="19"/>
  <c r="L107" i="19"/>
  <c r="O106" i="19"/>
  <c r="N106" i="19"/>
  <c r="M106" i="19"/>
  <c r="L106" i="19"/>
  <c r="O105" i="19"/>
  <c r="N105" i="19"/>
  <c r="M105" i="19"/>
  <c r="L105" i="19"/>
  <c r="S105" i="19" s="1"/>
  <c r="O104" i="19"/>
  <c r="N104" i="19"/>
  <c r="M104" i="19"/>
  <c r="L104" i="19"/>
  <c r="O103" i="19"/>
  <c r="N103" i="19"/>
  <c r="M103" i="19"/>
  <c r="L103" i="19"/>
  <c r="O102" i="19"/>
  <c r="N102" i="19"/>
  <c r="M102" i="19"/>
  <c r="L102" i="19"/>
  <c r="O101" i="19"/>
  <c r="N101" i="19"/>
  <c r="M101" i="19"/>
  <c r="L101" i="19"/>
  <c r="S101" i="19" s="1"/>
  <c r="O100" i="19"/>
  <c r="N100" i="19"/>
  <c r="M100" i="19"/>
  <c r="L100" i="19"/>
  <c r="O99" i="19"/>
  <c r="N99" i="19"/>
  <c r="M99" i="19"/>
  <c r="L99" i="19"/>
  <c r="S99" i="19" s="1"/>
  <c r="O98" i="19"/>
  <c r="S98" i="19" s="1"/>
  <c r="N98" i="19"/>
  <c r="M98" i="19"/>
  <c r="L98" i="19"/>
  <c r="O97" i="19"/>
  <c r="N97" i="19"/>
  <c r="M97" i="19"/>
  <c r="L97" i="19"/>
  <c r="O96" i="19"/>
  <c r="N96" i="19"/>
  <c r="M96" i="19"/>
  <c r="L96" i="19"/>
  <c r="O95" i="19"/>
  <c r="N95" i="19"/>
  <c r="M95" i="19"/>
  <c r="L95" i="19"/>
  <c r="O94" i="19"/>
  <c r="N94" i="19"/>
  <c r="M94" i="19"/>
  <c r="L94" i="19"/>
  <c r="O93" i="19"/>
  <c r="N93" i="19"/>
  <c r="M93" i="19"/>
  <c r="L93" i="19"/>
  <c r="O92" i="19"/>
  <c r="N92" i="19"/>
  <c r="M92" i="19"/>
  <c r="L92" i="19"/>
  <c r="O91" i="19"/>
  <c r="N91" i="19"/>
  <c r="M91" i="19"/>
  <c r="L91" i="19"/>
  <c r="O90" i="19"/>
  <c r="N90" i="19"/>
  <c r="M90" i="19"/>
  <c r="L90" i="19"/>
  <c r="O89" i="19"/>
  <c r="N89" i="19"/>
  <c r="M89" i="19"/>
  <c r="L89" i="19"/>
  <c r="O88" i="19"/>
  <c r="S88" i="19" s="1"/>
  <c r="N88" i="19"/>
  <c r="M88" i="19"/>
  <c r="L88" i="19"/>
  <c r="O87" i="19"/>
  <c r="N87" i="19"/>
  <c r="M87" i="19"/>
  <c r="L87" i="19"/>
  <c r="O86" i="19"/>
  <c r="S86" i="19" s="1"/>
  <c r="N86" i="19"/>
  <c r="M86" i="19"/>
  <c r="L86" i="19"/>
  <c r="O85" i="19"/>
  <c r="N85" i="19"/>
  <c r="M85" i="19"/>
  <c r="L85" i="19"/>
  <c r="O84" i="19"/>
  <c r="N84" i="19"/>
  <c r="M84" i="19"/>
  <c r="L84" i="19"/>
  <c r="O83" i="19"/>
  <c r="N83" i="19"/>
  <c r="M83" i="19"/>
  <c r="L83" i="19"/>
  <c r="O82" i="19"/>
  <c r="N82" i="19"/>
  <c r="M82" i="19"/>
  <c r="L82" i="19"/>
  <c r="O81" i="19"/>
  <c r="N81" i="19"/>
  <c r="M81" i="19"/>
  <c r="L81" i="19"/>
  <c r="O80" i="19"/>
  <c r="N80" i="19"/>
  <c r="M80" i="19"/>
  <c r="L80" i="19"/>
  <c r="O79" i="19"/>
  <c r="N79" i="19"/>
  <c r="M79" i="19"/>
  <c r="L79" i="19"/>
  <c r="O78" i="19"/>
  <c r="N78" i="19"/>
  <c r="M78" i="19"/>
  <c r="L78" i="19"/>
  <c r="O77" i="19"/>
  <c r="N77" i="19"/>
  <c r="M77" i="19"/>
  <c r="L77" i="19"/>
  <c r="O76" i="19"/>
  <c r="N76" i="19"/>
  <c r="M76" i="19"/>
  <c r="L76" i="19"/>
  <c r="O65" i="19"/>
  <c r="N65" i="19"/>
  <c r="M65" i="19"/>
  <c r="L65" i="19"/>
  <c r="R65" i="19" s="1"/>
  <c r="O64" i="19"/>
  <c r="N64" i="19"/>
  <c r="M64" i="19"/>
  <c r="L64" i="19"/>
  <c r="O63" i="19"/>
  <c r="N63" i="19"/>
  <c r="M63" i="19"/>
  <c r="L63" i="19"/>
  <c r="R63" i="19" s="1"/>
  <c r="O62" i="19"/>
  <c r="N62" i="19"/>
  <c r="Q62" i="19" s="1"/>
  <c r="M62" i="19"/>
  <c r="L62" i="19"/>
  <c r="O61" i="19"/>
  <c r="N61" i="19"/>
  <c r="M61" i="19"/>
  <c r="L61" i="19"/>
  <c r="R61" i="19" s="1"/>
  <c r="O60" i="19"/>
  <c r="N60" i="19"/>
  <c r="Q60" i="19" s="1"/>
  <c r="M60" i="19"/>
  <c r="L60" i="19"/>
  <c r="O58" i="19"/>
  <c r="N58" i="19"/>
  <c r="M58" i="19"/>
  <c r="L58" i="19"/>
  <c r="Q58" i="19" s="1"/>
  <c r="O57" i="19"/>
  <c r="N57" i="19"/>
  <c r="M57" i="19"/>
  <c r="L57" i="19"/>
  <c r="O56" i="19"/>
  <c r="N56" i="19"/>
  <c r="M56" i="19"/>
  <c r="L56" i="19"/>
  <c r="Q56" i="19" s="1"/>
  <c r="O55" i="19"/>
  <c r="N55" i="19"/>
  <c r="R55" i="19" s="1"/>
  <c r="M55" i="19"/>
  <c r="L55" i="19"/>
  <c r="O54" i="19"/>
  <c r="N54" i="19"/>
  <c r="M54" i="19"/>
  <c r="L54" i="19"/>
  <c r="O53" i="19"/>
  <c r="N53" i="19"/>
  <c r="Q53" i="19" s="1"/>
  <c r="M53" i="19"/>
  <c r="L53" i="19"/>
  <c r="O51" i="19"/>
  <c r="N51" i="19"/>
  <c r="M51" i="19"/>
  <c r="L51" i="19"/>
  <c r="Q51" i="19" s="1"/>
  <c r="O50" i="19"/>
  <c r="N50" i="19"/>
  <c r="R50" i="19" s="1"/>
  <c r="M50" i="19"/>
  <c r="L50" i="19"/>
  <c r="O49" i="19"/>
  <c r="N49" i="19"/>
  <c r="M49" i="19"/>
  <c r="L49" i="19"/>
  <c r="R49" i="19" s="1"/>
  <c r="O48" i="19"/>
  <c r="N48" i="19"/>
  <c r="R48" i="19" s="1"/>
  <c r="M48" i="19"/>
  <c r="L48" i="19"/>
  <c r="O47" i="19"/>
  <c r="N47" i="19"/>
  <c r="M47" i="19"/>
  <c r="L47" i="19"/>
  <c r="Q47" i="19" s="1"/>
  <c r="O46" i="19"/>
  <c r="N46" i="19"/>
  <c r="R46" i="19" s="1"/>
  <c r="M46" i="19"/>
  <c r="L46" i="19"/>
  <c r="O44" i="19"/>
  <c r="N44" i="19"/>
  <c r="M44" i="19"/>
  <c r="L44" i="19"/>
  <c r="Q44" i="19" s="1"/>
  <c r="O43" i="19"/>
  <c r="N43" i="19"/>
  <c r="M43" i="19"/>
  <c r="L43" i="19"/>
  <c r="O42" i="19"/>
  <c r="N42" i="19"/>
  <c r="M42" i="19"/>
  <c r="L42" i="19"/>
  <c r="Q42" i="19" s="1"/>
  <c r="O41" i="19"/>
  <c r="N41" i="19"/>
  <c r="Q41" i="19" s="1"/>
  <c r="M41" i="19"/>
  <c r="L41" i="19"/>
  <c r="O40" i="19"/>
  <c r="N40" i="19"/>
  <c r="M40" i="19"/>
  <c r="L40" i="19"/>
  <c r="Q40" i="19" s="1"/>
  <c r="O39" i="19"/>
  <c r="N39" i="19"/>
  <c r="M39" i="19"/>
  <c r="L39" i="19"/>
  <c r="O37" i="19"/>
  <c r="N37" i="19"/>
  <c r="M37" i="19"/>
  <c r="L37" i="19"/>
  <c r="Q37" i="19" s="1"/>
  <c r="O36" i="19"/>
  <c r="N36" i="19"/>
  <c r="R36" i="19" s="1"/>
  <c r="M36" i="19"/>
  <c r="L36" i="19"/>
  <c r="O35" i="19"/>
  <c r="N35" i="19"/>
  <c r="M35" i="19"/>
  <c r="L35" i="19"/>
  <c r="O34" i="19"/>
  <c r="N34" i="19"/>
  <c r="R34" i="19" s="1"/>
  <c r="M34" i="19"/>
  <c r="L34" i="19"/>
  <c r="O33" i="19"/>
  <c r="N33" i="19"/>
  <c r="M33" i="19"/>
  <c r="L33" i="19"/>
  <c r="Q33" i="19" s="1"/>
  <c r="O32" i="19"/>
  <c r="N32" i="19"/>
  <c r="R32" i="19" s="1"/>
  <c r="M32" i="19"/>
  <c r="L32" i="19"/>
  <c r="O30" i="19"/>
  <c r="N30" i="19"/>
  <c r="M30" i="19"/>
  <c r="L30" i="19"/>
  <c r="O29" i="19"/>
  <c r="N29" i="19"/>
  <c r="R29" i="19" s="1"/>
  <c r="M29" i="19"/>
  <c r="L29" i="19"/>
  <c r="O28" i="19"/>
  <c r="N28" i="19"/>
  <c r="M28" i="19"/>
  <c r="L28" i="19"/>
  <c r="Q28" i="19" s="1"/>
  <c r="O27" i="19"/>
  <c r="N27" i="19"/>
  <c r="R27" i="19" s="1"/>
  <c r="M27" i="19"/>
  <c r="L27" i="19"/>
  <c r="O26" i="19"/>
  <c r="N26" i="19"/>
  <c r="M26" i="19"/>
  <c r="L26" i="19"/>
  <c r="O25" i="19"/>
  <c r="N25" i="19"/>
  <c r="Q25" i="19" s="1"/>
  <c r="M25" i="19"/>
  <c r="L25" i="19"/>
  <c r="O23" i="19"/>
  <c r="N23" i="19"/>
  <c r="M23" i="19"/>
  <c r="L23" i="19"/>
  <c r="Q23" i="19" s="1"/>
  <c r="O22" i="19"/>
  <c r="N22" i="19"/>
  <c r="R22" i="19" s="1"/>
  <c r="M22" i="19"/>
  <c r="L22" i="19"/>
  <c r="O21" i="19"/>
  <c r="N21" i="19"/>
  <c r="M21" i="19"/>
  <c r="L21" i="19"/>
  <c r="O20" i="19"/>
  <c r="N20" i="19"/>
  <c r="Q20" i="19" s="1"/>
  <c r="M20" i="19"/>
  <c r="L20" i="19"/>
  <c r="O19" i="19"/>
  <c r="N19" i="19"/>
  <c r="M19" i="19"/>
  <c r="L19" i="19"/>
  <c r="Q19" i="19" s="1"/>
  <c r="O18" i="19"/>
  <c r="N18" i="19"/>
  <c r="Q18" i="19" s="1"/>
  <c r="M18" i="19"/>
  <c r="L18" i="19"/>
  <c r="O16" i="19"/>
  <c r="N16" i="19"/>
  <c r="M16" i="19"/>
  <c r="L16" i="19"/>
  <c r="O15" i="19"/>
  <c r="N15" i="19"/>
  <c r="M15" i="19"/>
  <c r="L15" i="19"/>
  <c r="O14" i="19"/>
  <c r="N14" i="19"/>
  <c r="M14" i="19"/>
  <c r="L14" i="19"/>
  <c r="O13" i="19"/>
  <c r="N13" i="19"/>
  <c r="R13" i="19" s="1"/>
  <c r="M13" i="19"/>
  <c r="L13" i="19"/>
  <c r="O12" i="19"/>
  <c r="N12" i="19"/>
  <c r="M12" i="19"/>
  <c r="L12" i="19"/>
  <c r="O11" i="19"/>
  <c r="M11" i="19"/>
  <c r="L11" i="19"/>
  <c r="Q127" i="19"/>
  <c r="Q134" i="19"/>
  <c r="S107" i="19"/>
  <c r="R53" i="19"/>
  <c r="R41" i="19"/>
  <c r="R11" i="19"/>
  <c r="Q11" i="19"/>
  <c r="R14" i="19"/>
  <c r="Q32" i="19"/>
  <c r="Q36" i="19"/>
  <c r="R11" i="35" l="1"/>
  <c r="R11" i="27"/>
  <c r="R11" i="37"/>
  <c r="R11" i="20"/>
  <c r="Q11" i="22"/>
  <c r="R11" i="28"/>
  <c r="Q11" i="26"/>
  <c r="S11" i="26" s="1"/>
  <c r="Q11" i="30"/>
  <c r="Q11" i="32"/>
  <c r="Q11" i="37"/>
  <c r="N109" i="33"/>
  <c r="O109" i="33"/>
  <c r="L109" i="33"/>
  <c r="Q118" i="29"/>
  <c r="Q133" i="29" s="1"/>
  <c r="O109" i="29"/>
  <c r="N109" i="29"/>
  <c r="S106" i="29"/>
  <c r="S96" i="29"/>
  <c r="S88" i="29"/>
  <c r="S80" i="29"/>
  <c r="S100" i="29"/>
  <c r="S94" i="29"/>
  <c r="S84" i="29"/>
  <c r="Q109" i="29" s="1"/>
  <c r="Q132" i="29" s="1"/>
  <c r="M109" i="29"/>
  <c r="S87" i="29"/>
  <c r="S79" i="29"/>
  <c r="L109" i="29"/>
  <c r="S76" i="29"/>
  <c r="S58" i="29"/>
  <c r="S50" i="29"/>
  <c r="S49" i="29"/>
  <c r="S40" i="29"/>
  <c r="Q118" i="37"/>
  <c r="Q133" i="37" s="1"/>
  <c r="S76" i="37"/>
  <c r="S78" i="37"/>
  <c r="M109" i="37"/>
  <c r="S80" i="37"/>
  <c r="S82" i="37"/>
  <c r="S84" i="37"/>
  <c r="S86" i="37"/>
  <c r="S97" i="37"/>
  <c r="S99" i="37"/>
  <c r="S101" i="37"/>
  <c r="N109" i="37"/>
  <c r="S88" i="37"/>
  <c r="S107" i="37"/>
  <c r="O109" i="37"/>
  <c r="S77" i="37"/>
  <c r="Q109" i="37" s="1"/>
  <c r="Q132" i="37" s="1"/>
  <c r="S96" i="37"/>
  <c r="S81" i="37"/>
  <c r="S83" i="37"/>
  <c r="S85" i="37"/>
  <c r="S92" i="37"/>
  <c r="S100" i="37"/>
  <c r="S102" i="37"/>
  <c r="S104" i="37"/>
  <c r="S106" i="37"/>
  <c r="S58" i="37"/>
  <c r="S47" i="37"/>
  <c r="S49" i="37"/>
  <c r="S40" i="37"/>
  <c r="S39" i="37"/>
  <c r="S21" i="37"/>
  <c r="S61" i="38"/>
  <c r="S47" i="38"/>
  <c r="S33" i="38"/>
  <c r="S20" i="38"/>
  <c r="Q109" i="38"/>
  <c r="Q132" i="38" s="1"/>
  <c r="S60" i="38"/>
  <c r="S46" i="38"/>
  <c r="S32" i="38"/>
  <c r="S14" i="38"/>
  <c r="Q54" i="38"/>
  <c r="S54" i="38" s="1"/>
  <c r="Q40" i="38"/>
  <c r="S40" i="38" s="1"/>
  <c r="Q26" i="38"/>
  <c r="S26" i="38" s="1"/>
  <c r="Q12" i="38"/>
  <c r="S12" i="38" s="1"/>
  <c r="N109" i="38"/>
  <c r="R61" i="38"/>
  <c r="R47" i="38"/>
  <c r="R33" i="38"/>
  <c r="L109" i="38"/>
  <c r="R11" i="38"/>
  <c r="S11" i="38" s="1"/>
  <c r="R16" i="38"/>
  <c r="S16" i="38" s="1"/>
  <c r="R64" i="38"/>
  <c r="S64" i="38" s="1"/>
  <c r="R50" i="38"/>
  <c r="S50" i="38" s="1"/>
  <c r="R36" i="38"/>
  <c r="S36" i="38" s="1"/>
  <c r="R22" i="38"/>
  <c r="S22" i="38" s="1"/>
  <c r="R56" i="38"/>
  <c r="S56" i="38" s="1"/>
  <c r="R42" i="38"/>
  <c r="S42" i="38" s="1"/>
  <c r="R28" i="38"/>
  <c r="S28" i="38" s="1"/>
  <c r="R14" i="38"/>
  <c r="R62" i="38"/>
  <c r="S62" i="38" s="1"/>
  <c r="R48" i="38"/>
  <c r="S48" i="38" s="1"/>
  <c r="R34" i="38"/>
  <c r="S34" i="38" s="1"/>
  <c r="R20" i="38"/>
  <c r="S20" i="37"/>
  <c r="S44" i="37"/>
  <c r="S37" i="37"/>
  <c r="S25" i="37"/>
  <c r="S28" i="37"/>
  <c r="Q14" i="37"/>
  <c r="S14" i="37" s="1"/>
  <c r="R15" i="37"/>
  <c r="S15" i="37" s="1"/>
  <c r="Q23" i="37"/>
  <c r="S23" i="37" s="1"/>
  <c r="R25" i="37"/>
  <c r="Q33" i="37"/>
  <c r="S33" i="37" s="1"/>
  <c r="R34" i="37"/>
  <c r="S34" i="37" s="1"/>
  <c r="Q42" i="37"/>
  <c r="S42" i="37" s="1"/>
  <c r="R43" i="37"/>
  <c r="S43" i="37" s="1"/>
  <c r="Q51" i="37"/>
  <c r="S51" i="37" s="1"/>
  <c r="R53" i="37"/>
  <c r="S53" i="37" s="1"/>
  <c r="Q61" i="37"/>
  <c r="S61" i="37" s="1"/>
  <c r="R62" i="37"/>
  <c r="S62" i="37" s="1"/>
  <c r="L109" i="37"/>
  <c r="Q41" i="37"/>
  <c r="S41" i="37" s="1"/>
  <c r="Q50" i="37"/>
  <c r="S50" i="37" s="1"/>
  <c r="Q60" i="37"/>
  <c r="S60" i="37" s="1"/>
  <c r="Q65" i="37"/>
  <c r="S65" i="37" s="1"/>
  <c r="Q18" i="37"/>
  <c r="S18" i="37" s="1"/>
  <c r="Q27" i="37"/>
  <c r="S27" i="37" s="1"/>
  <c r="Q36" i="37"/>
  <c r="S36" i="37" s="1"/>
  <c r="Q46" i="37"/>
  <c r="S46" i="37" s="1"/>
  <c r="Q55" i="37"/>
  <c r="S55" i="37" s="1"/>
  <c r="Q64" i="37"/>
  <c r="S64" i="37" s="1"/>
  <c r="Q16" i="37"/>
  <c r="S16" i="37" s="1"/>
  <c r="Q26" i="37"/>
  <c r="S26" i="37" s="1"/>
  <c r="Q35" i="37"/>
  <c r="S35" i="37" s="1"/>
  <c r="Q54" i="37"/>
  <c r="S54" i="37" s="1"/>
  <c r="Q63" i="37"/>
  <c r="S63" i="37" s="1"/>
  <c r="S77" i="28"/>
  <c r="S79" i="28"/>
  <c r="S81" i="28"/>
  <c r="S93" i="28"/>
  <c r="S95" i="28"/>
  <c r="S97" i="28"/>
  <c r="S78" i="28"/>
  <c r="S82" i="28"/>
  <c r="S86" i="28"/>
  <c r="S90" i="28"/>
  <c r="S98" i="28"/>
  <c r="S16" i="28"/>
  <c r="Q46" i="24"/>
  <c r="Q28" i="24"/>
  <c r="S28" i="24" s="1"/>
  <c r="Q30" i="24"/>
  <c r="R57" i="24"/>
  <c r="S57" i="24" s="1"/>
  <c r="Q64" i="24"/>
  <c r="R21" i="24"/>
  <c r="R48" i="24"/>
  <c r="S37" i="24"/>
  <c r="R54" i="24"/>
  <c r="S89" i="24"/>
  <c r="S105" i="24"/>
  <c r="Q118" i="36"/>
  <c r="Q133" i="36" s="1"/>
  <c r="S91" i="36"/>
  <c r="S93" i="36"/>
  <c r="S95" i="36"/>
  <c r="S81" i="36"/>
  <c r="M109" i="36"/>
  <c r="S89" i="36"/>
  <c r="S107" i="36"/>
  <c r="N109" i="36"/>
  <c r="S78" i="36"/>
  <c r="S88" i="36"/>
  <c r="S90" i="36"/>
  <c r="S97" i="36"/>
  <c r="O109" i="36"/>
  <c r="S86" i="36"/>
  <c r="S96" i="36"/>
  <c r="S98" i="36"/>
  <c r="S105" i="36"/>
  <c r="L109" i="36"/>
  <c r="S76" i="36"/>
  <c r="S94" i="36"/>
  <c r="S104" i="36"/>
  <c r="S106" i="36"/>
  <c r="S77" i="36"/>
  <c r="Q109" i="36" s="1"/>
  <c r="Q132" i="36" s="1"/>
  <c r="S79" i="36"/>
  <c r="S102" i="36"/>
  <c r="S56" i="36"/>
  <c r="S57" i="36"/>
  <c r="S49" i="36"/>
  <c r="S29" i="36"/>
  <c r="S21" i="36"/>
  <c r="S19" i="36"/>
  <c r="S11" i="36"/>
  <c r="N109" i="24"/>
  <c r="Q20" i="24"/>
  <c r="S20" i="24" s="1"/>
  <c r="R33" i="24"/>
  <c r="R35" i="24"/>
  <c r="Q49" i="24"/>
  <c r="Q65" i="24"/>
  <c r="O109" i="24"/>
  <c r="S98" i="24"/>
  <c r="S100" i="24"/>
  <c r="S102" i="24"/>
  <c r="S104" i="24"/>
  <c r="S56" i="24"/>
  <c r="Q48" i="24"/>
  <c r="R12" i="24"/>
  <c r="S12" i="24" s="1"/>
  <c r="Q27" i="24"/>
  <c r="S27" i="24" s="1"/>
  <c r="R41" i="24"/>
  <c r="Q43" i="24"/>
  <c r="R46" i="24"/>
  <c r="S46" i="24" s="1"/>
  <c r="Q47" i="24"/>
  <c r="S47" i="24" s="1"/>
  <c r="R51" i="24"/>
  <c r="Q55" i="24"/>
  <c r="R58" i="24"/>
  <c r="S58" i="24" s="1"/>
  <c r="S77" i="24"/>
  <c r="Q109" i="24" s="1"/>
  <c r="Q132" i="24" s="1"/>
  <c r="S79" i="24"/>
  <c r="S106" i="24"/>
  <c r="S107" i="24"/>
  <c r="M109" i="24"/>
  <c r="S21" i="24"/>
  <c r="Q39" i="24"/>
  <c r="S39" i="24" s="1"/>
  <c r="R61" i="24"/>
  <c r="S61" i="24" s="1"/>
  <c r="S83" i="24"/>
  <c r="S87" i="24"/>
  <c r="Q11" i="24"/>
  <c r="S11" i="24" s="1"/>
  <c r="R19" i="24"/>
  <c r="S19" i="24" s="1"/>
  <c r="R23" i="24"/>
  <c r="R26" i="24"/>
  <c r="R30" i="24"/>
  <c r="S30" i="24" s="1"/>
  <c r="Q62" i="24"/>
  <c r="S62" i="24" s="1"/>
  <c r="R64" i="24"/>
  <c r="S64" i="24" s="1"/>
  <c r="S91" i="24"/>
  <c r="S93" i="24"/>
  <c r="S95" i="24"/>
  <c r="S85" i="24"/>
  <c r="Q18" i="24"/>
  <c r="R32" i="24"/>
  <c r="Q34" i="24"/>
  <c r="R36" i="24"/>
  <c r="S36" i="24" s="1"/>
  <c r="Q40" i="24"/>
  <c r="S40" i="24" s="1"/>
  <c r="R49" i="24"/>
  <c r="R65" i="24"/>
  <c r="S99" i="24"/>
  <c r="S101" i="24"/>
  <c r="S103" i="24"/>
  <c r="S25" i="36"/>
  <c r="S55" i="36"/>
  <c r="S27" i="36"/>
  <c r="S46" i="36"/>
  <c r="S62" i="36"/>
  <c r="S34" i="36"/>
  <c r="R16" i="36"/>
  <c r="S16" i="36" s="1"/>
  <c r="Q14" i="36"/>
  <c r="S14" i="36" s="1"/>
  <c r="Q23" i="36"/>
  <c r="S23" i="36" s="1"/>
  <c r="Q33" i="36"/>
  <c r="S33" i="36" s="1"/>
  <c r="Q42" i="36"/>
  <c r="S42" i="36" s="1"/>
  <c r="Q51" i="36"/>
  <c r="S51" i="36" s="1"/>
  <c r="Q61" i="36"/>
  <c r="S61" i="36" s="1"/>
  <c r="Q13" i="36"/>
  <c r="S13" i="36" s="1"/>
  <c r="Q22" i="36"/>
  <c r="S22" i="36" s="1"/>
  <c r="Q32" i="36"/>
  <c r="S32" i="36" s="1"/>
  <c r="Q41" i="36"/>
  <c r="S41" i="36" s="1"/>
  <c r="Q50" i="36"/>
  <c r="S50" i="36" s="1"/>
  <c r="Q60" i="36"/>
  <c r="S60" i="36" s="1"/>
  <c r="Q26" i="36"/>
  <c r="S26" i="36" s="1"/>
  <c r="Q35" i="36"/>
  <c r="S35" i="36" s="1"/>
  <c r="Q44" i="36"/>
  <c r="S44" i="36" s="1"/>
  <c r="Q54" i="36"/>
  <c r="S54" i="36" s="1"/>
  <c r="Q63" i="36"/>
  <c r="S63" i="36" s="1"/>
  <c r="Q118" i="35"/>
  <c r="Q133" i="35" s="1"/>
  <c r="O109" i="35"/>
  <c r="S81" i="35"/>
  <c r="S104" i="35"/>
  <c r="S107" i="35"/>
  <c r="S89" i="35"/>
  <c r="S90" i="35"/>
  <c r="S101" i="35"/>
  <c r="L109" i="35"/>
  <c r="S82" i="35"/>
  <c r="S105" i="35"/>
  <c r="N109" i="35"/>
  <c r="S103" i="35"/>
  <c r="M109" i="35"/>
  <c r="S85" i="35"/>
  <c r="S99" i="35"/>
  <c r="S102" i="35"/>
  <c r="S88" i="35"/>
  <c r="S94" i="35"/>
  <c r="S97" i="35"/>
  <c r="S80" i="35"/>
  <c r="S83" i="35"/>
  <c r="S100" i="35"/>
  <c r="S106" i="35"/>
  <c r="S91" i="35"/>
  <c r="S51" i="35"/>
  <c r="S44" i="35"/>
  <c r="S43" i="35"/>
  <c r="S29" i="35"/>
  <c r="S27" i="35"/>
  <c r="S15" i="35"/>
  <c r="S60" i="35"/>
  <c r="Q12" i="35"/>
  <c r="S12" i="35" s="1"/>
  <c r="Q26" i="35"/>
  <c r="S26" i="35" s="1"/>
  <c r="Q40" i="35"/>
  <c r="S40" i="35" s="1"/>
  <c r="Q54" i="35"/>
  <c r="S54" i="35" s="1"/>
  <c r="S77" i="35"/>
  <c r="Q20" i="35"/>
  <c r="S20" i="35" s="1"/>
  <c r="Q34" i="35"/>
  <c r="S34" i="35" s="1"/>
  <c r="Q48" i="35"/>
  <c r="S48" i="35" s="1"/>
  <c r="Q62" i="35"/>
  <c r="S62" i="35" s="1"/>
  <c r="Q14" i="35"/>
  <c r="S14" i="35" s="1"/>
  <c r="Q28" i="35"/>
  <c r="S28" i="35" s="1"/>
  <c r="Q42" i="35"/>
  <c r="S42" i="35" s="1"/>
  <c r="Q56" i="35"/>
  <c r="S56" i="35" s="1"/>
  <c r="Q22" i="35"/>
  <c r="S22" i="35" s="1"/>
  <c r="Q36" i="35"/>
  <c r="S36" i="35" s="1"/>
  <c r="Q50" i="35"/>
  <c r="S50" i="35" s="1"/>
  <c r="Q64" i="35"/>
  <c r="S64" i="35" s="1"/>
  <c r="Q11" i="35"/>
  <c r="S11" i="35" s="1"/>
  <c r="Q25" i="35"/>
  <c r="S25" i="35" s="1"/>
  <c r="Q39" i="35"/>
  <c r="S39" i="35" s="1"/>
  <c r="Q53" i="35"/>
  <c r="S53" i="35" s="1"/>
  <c r="Q19" i="35"/>
  <c r="S19" i="35" s="1"/>
  <c r="Q33" i="35"/>
  <c r="S33" i="35" s="1"/>
  <c r="Q47" i="35"/>
  <c r="S47" i="35" s="1"/>
  <c r="Q61" i="35"/>
  <c r="S61" i="35" s="1"/>
  <c r="S76" i="35"/>
  <c r="S53" i="34"/>
  <c r="S46" i="34"/>
  <c r="S36" i="34"/>
  <c r="S35" i="34"/>
  <c r="S27" i="34"/>
  <c r="S18" i="34"/>
  <c r="S16" i="34"/>
  <c r="Q118" i="34"/>
  <c r="Q133" i="34" s="1"/>
  <c r="S80" i="34"/>
  <c r="S88" i="34"/>
  <c r="S99" i="34"/>
  <c r="S84" i="34"/>
  <c r="S79" i="34"/>
  <c r="S100" i="34"/>
  <c r="S92" i="34"/>
  <c r="M109" i="34"/>
  <c r="S58" i="34"/>
  <c r="S23" i="34"/>
  <c r="S33" i="34"/>
  <c r="S42" i="34"/>
  <c r="S14" i="34"/>
  <c r="Q61" i="34"/>
  <c r="S61" i="34" s="1"/>
  <c r="R62" i="34"/>
  <c r="S62" i="34" s="1"/>
  <c r="L109" i="34"/>
  <c r="Q13" i="34"/>
  <c r="S13" i="34" s="1"/>
  <c r="Q22" i="34"/>
  <c r="S22" i="34" s="1"/>
  <c r="Q32" i="34"/>
  <c r="S32" i="34" s="1"/>
  <c r="Q41" i="34"/>
  <c r="S41" i="34" s="1"/>
  <c r="Q50" i="34"/>
  <c r="S50" i="34" s="1"/>
  <c r="Q60" i="34"/>
  <c r="S60" i="34" s="1"/>
  <c r="Q12" i="34"/>
  <c r="S12" i="34" s="1"/>
  <c r="Q21" i="34"/>
  <c r="S21" i="34" s="1"/>
  <c r="Q30" i="34"/>
  <c r="S30" i="34" s="1"/>
  <c r="Q40" i="34"/>
  <c r="S40" i="34" s="1"/>
  <c r="Q49" i="34"/>
  <c r="S49" i="34" s="1"/>
  <c r="Q11" i="34"/>
  <c r="S11" i="34" s="1"/>
  <c r="Q20" i="34"/>
  <c r="S20" i="34" s="1"/>
  <c r="Q29" i="34"/>
  <c r="S29" i="34" s="1"/>
  <c r="Q39" i="34"/>
  <c r="S39" i="34" s="1"/>
  <c r="Q48" i="34"/>
  <c r="S48" i="34" s="1"/>
  <c r="Q57" i="34"/>
  <c r="S57" i="34" s="1"/>
  <c r="Q19" i="34"/>
  <c r="S19" i="34" s="1"/>
  <c r="Q28" i="34"/>
  <c r="S28" i="34" s="1"/>
  <c r="Q37" i="34"/>
  <c r="S37" i="34" s="1"/>
  <c r="Q47" i="34"/>
  <c r="S47" i="34" s="1"/>
  <c r="Q56" i="34"/>
  <c r="S56" i="34" s="1"/>
  <c r="Q65" i="34"/>
  <c r="S65" i="34" s="1"/>
  <c r="Q55" i="34"/>
  <c r="S55" i="34" s="1"/>
  <c r="Q64" i="34"/>
  <c r="S64" i="34" s="1"/>
  <c r="Q63" i="34"/>
  <c r="S63" i="34" s="1"/>
  <c r="Q118" i="33"/>
  <c r="Q133" i="33" s="1"/>
  <c r="M109" i="33"/>
  <c r="S77" i="33"/>
  <c r="S78" i="33"/>
  <c r="S79" i="33"/>
  <c r="S80" i="33"/>
  <c r="S81" i="33"/>
  <c r="S82" i="33"/>
  <c r="S83" i="33"/>
  <c r="S84" i="33"/>
  <c r="S85" i="33"/>
  <c r="S86" i="33"/>
  <c r="S87" i="33"/>
  <c r="S88" i="33"/>
  <c r="S89" i="33"/>
  <c r="S90" i="33"/>
  <c r="S91" i="33"/>
  <c r="S92" i="33"/>
  <c r="S93" i="33"/>
  <c r="S94" i="33"/>
  <c r="S95" i="33"/>
  <c r="S96" i="33"/>
  <c r="S97" i="33"/>
  <c r="S98" i="33"/>
  <c r="S99" i="33"/>
  <c r="S100" i="33"/>
  <c r="S101" i="33"/>
  <c r="S102" i="33"/>
  <c r="S103" i="33"/>
  <c r="S104" i="33"/>
  <c r="S105" i="33"/>
  <c r="S106" i="33"/>
  <c r="S107" i="33"/>
  <c r="S63" i="33"/>
  <c r="Q14" i="33"/>
  <c r="S14" i="33" s="1"/>
  <c r="Q19" i="33"/>
  <c r="S19" i="33" s="1"/>
  <c r="Q23" i="33"/>
  <c r="S23" i="33" s="1"/>
  <c r="Q28" i="33"/>
  <c r="S28" i="33" s="1"/>
  <c r="Q33" i="33"/>
  <c r="S33" i="33" s="1"/>
  <c r="Q37" i="33"/>
  <c r="S37" i="33" s="1"/>
  <c r="Q42" i="33"/>
  <c r="S42" i="33" s="1"/>
  <c r="Q47" i="33"/>
  <c r="S47" i="33" s="1"/>
  <c r="Q51" i="33"/>
  <c r="S51" i="33" s="1"/>
  <c r="Q56" i="33"/>
  <c r="S56" i="33" s="1"/>
  <c r="Q61" i="33"/>
  <c r="S61" i="33" s="1"/>
  <c r="Q65" i="33"/>
  <c r="S65" i="33" s="1"/>
  <c r="S76" i="33"/>
  <c r="Q64" i="33"/>
  <c r="S64" i="33" s="1"/>
  <c r="Q12" i="33"/>
  <c r="S12" i="33" s="1"/>
  <c r="Q16" i="33"/>
  <c r="S16" i="33" s="1"/>
  <c r="Q21" i="33"/>
  <c r="S21" i="33" s="1"/>
  <c r="Q26" i="33"/>
  <c r="S26" i="33" s="1"/>
  <c r="Q30" i="33"/>
  <c r="S30" i="33" s="1"/>
  <c r="Q35" i="33"/>
  <c r="S35" i="33" s="1"/>
  <c r="Q40" i="33"/>
  <c r="S40" i="33" s="1"/>
  <c r="Q44" i="33"/>
  <c r="S44" i="33" s="1"/>
  <c r="Q49" i="33"/>
  <c r="S49" i="33" s="1"/>
  <c r="Q54" i="33"/>
  <c r="S54" i="33" s="1"/>
  <c r="Q58" i="33"/>
  <c r="S58" i="33" s="1"/>
  <c r="Q118" i="23"/>
  <c r="Q133" i="23" s="1"/>
  <c r="S106" i="23"/>
  <c r="R58" i="23"/>
  <c r="R61" i="23"/>
  <c r="N109" i="23"/>
  <c r="S82" i="23"/>
  <c r="S95" i="23"/>
  <c r="S15" i="23"/>
  <c r="S76" i="23"/>
  <c r="R14" i="23"/>
  <c r="R16" i="23"/>
  <c r="Q22" i="23"/>
  <c r="R30" i="23"/>
  <c r="Q34" i="23"/>
  <c r="Q39" i="23"/>
  <c r="R53" i="23"/>
  <c r="R56" i="23"/>
  <c r="O109" i="23"/>
  <c r="S88" i="23"/>
  <c r="Q11" i="23"/>
  <c r="S11" i="23" s="1"/>
  <c r="R25" i="23"/>
  <c r="R28" i="23"/>
  <c r="R32" i="23"/>
  <c r="S32" i="23" s="1"/>
  <c r="Q40" i="23"/>
  <c r="R48" i="23"/>
  <c r="S48" i="23" s="1"/>
  <c r="S77" i="23"/>
  <c r="S90" i="23"/>
  <c r="S94" i="23"/>
  <c r="S96" i="23"/>
  <c r="S20" i="23"/>
  <c r="Q12" i="23"/>
  <c r="R20" i="23"/>
  <c r="Q36" i="23"/>
  <c r="S98" i="23"/>
  <c r="S102" i="23"/>
  <c r="S43" i="23"/>
  <c r="Q13" i="23"/>
  <c r="S13" i="23" s="1"/>
  <c r="R21" i="23"/>
  <c r="S21" i="23" s="1"/>
  <c r="S25" i="23"/>
  <c r="Q29" i="23"/>
  <c r="S29" i="23" s="1"/>
  <c r="R43" i="23"/>
  <c r="R47" i="23"/>
  <c r="R50" i="23"/>
  <c r="S50" i="23" s="1"/>
  <c r="R60" i="23"/>
  <c r="Q62" i="23"/>
  <c r="Q65" i="23"/>
  <c r="S65" i="23" s="1"/>
  <c r="S83" i="23"/>
  <c r="S85" i="23"/>
  <c r="R15" i="23"/>
  <c r="R19" i="23"/>
  <c r="R22" i="23"/>
  <c r="Q30" i="23"/>
  <c r="R39" i="23"/>
  <c r="R51" i="23"/>
  <c r="R54" i="23"/>
  <c r="S104" i="23"/>
  <c r="S100" i="23"/>
  <c r="S92" i="23"/>
  <c r="S87" i="23"/>
  <c r="S84" i="23"/>
  <c r="S79" i="23"/>
  <c r="L109" i="23"/>
  <c r="S57" i="23"/>
  <c r="S55" i="23"/>
  <c r="S41" i="23"/>
  <c r="S36" i="23"/>
  <c r="N109" i="32"/>
  <c r="O109" i="32"/>
  <c r="S94" i="32"/>
  <c r="S96" i="32"/>
  <c r="M109" i="32"/>
  <c r="S100" i="32"/>
  <c r="S84" i="32"/>
  <c r="S80" i="32"/>
  <c r="S79" i="32"/>
  <c r="Q118" i="32"/>
  <c r="Q133" i="32" s="1"/>
  <c r="S63" i="32"/>
  <c r="S58" i="32"/>
  <c r="S23" i="32"/>
  <c r="S15" i="32"/>
  <c r="S11" i="32"/>
  <c r="S29" i="32"/>
  <c r="S48" i="32"/>
  <c r="S13" i="32"/>
  <c r="S32" i="32"/>
  <c r="S49" i="32"/>
  <c r="S50" i="32"/>
  <c r="S61" i="32"/>
  <c r="S20" i="32"/>
  <c r="L109" i="32"/>
  <c r="Q60" i="32"/>
  <c r="S60" i="32" s="1"/>
  <c r="Q19" i="32"/>
  <c r="S19" i="32" s="1"/>
  <c r="Q28" i="32"/>
  <c r="S28" i="32" s="1"/>
  <c r="Q37" i="32"/>
  <c r="S37" i="32" s="1"/>
  <c r="Q47" i="32"/>
  <c r="S47" i="32" s="1"/>
  <c r="Q56" i="32"/>
  <c r="S56" i="32" s="1"/>
  <c r="Q65" i="32"/>
  <c r="S65" i="32" s="1"/>
  <c r="Q18" i="32"/>
  <c r="S18" i="32" s="1"/>
  <c r="Q27" i="32"/>
  <c r="S27" i="32" s="1"/>
  <c r="Q36" i="32"/>
  <c r="S36" i="32" s="1"/>
  <c r="Q46" i="32"/>
  <c r="S46" i="32" s="1"/>
  <c r="Q55" i="32"/>
  <c r="S55" i="32" s="1"/>
  <c r="Q16" i="32"/>
  <c r="S16" i="32" s="1"/>
  <c r="Q26" i="32"/>
  <c r="S26" i="32" s="1"/>
  <c r="Q35" i="32"/>
  <c r="S35" i="32" s="1"/>
  <c r="Q44" i="32"/>
  <c r="S44" i="32" s="1"/>
  <c r="Q54" i="32"/>
  <c r="S54" i="32" s="1"/>
  <c r="Q118" i="31"/>
  <c r="Q133" i="31" s="1"/>
  <c r="S100" i="31"/>
  <c r="S96" i="31"/>
  <c r="S94" i="31"/>
  <c r="S88" i="31"/>
  <c r="S84" i="31"/>
  <c r="S80" i="31"/>
  <c r="S79" i="31"/>
  <c r="M109" i="31"/>
  <c r="S86" i="31"/>
  <c r="S18" i="31"/>
  <c r="S32" i="31"/>
  <c r="S55" i="31"/>
  <c r="Q27" i="31"/>
  <c r="S27" i="31" s="1"/>
  <c r="Q41" i="31"/>
  <c r="S41" i="31" s="1"/>
  <c r="Q50" i="31"/>
  <c r="S50" i="31" s="1"/>
  <c r="Q60" i="31"/>
  <c r="S60" i="31" s="1"/>
  <c r="R11" i="31"/>
  <c r="S11" i="31" s="1"/>
  <c r="R15" i="31"/>
  <c r="S15" i="31" s="1"/>
  <c r="R20" i="31"/>
  <c r="S20" i="31" s="1"/>
  <c r="R25" i="31"/>
  <c r="S25" i="31" s="1"/>
  <c r="R29" i="31"/>
  <c r="S29" i="31" s="1"/>
  <c r="R34" i="31"/>
  <c r="S34" i="31" s="1"/>
  <c r="R39" i="31"/>
  <c r="S39" i="31" s="1"/>
  <c r="R43" i="31"/>
  <c r="S43" i="31" s="1"/>
  <c r="R48" i="31"/>
  <c r="S48" i="31" s="1"/>
  <c r="R53" i="31"/>
  <c r="S53" i="31" s="1"/>
  <c r="R57" i="31"/>
  <c r="S57" i="31" s="1"/>
  <c r="R62" i="31"/>
  <c r="S62" i="31" s="1"/>
  <c r="Q65" i="31"/>
  <c r="S65" i="31" s="1"/>
  <c r="S76" i="31"/>
  <c r="Q13" i="31"/>
  <c r="S13" i="31" s="1"/>
  <c r="Q36" i="31"/>
  <c r="S36" i="31" s="1"/>
  <c r="Q12" i="31"/>
  <c r="S12" i="31" s="1"/>
  <c r="Q16" i="31"/>
  <c r="S16" i="31" s="1"/>
  <c r="Q21" i="31"/>
  <c r="S21" i="31" s="1"/>
  <c r="R22" i="31"/>
  <c r="S22" i="31" s="1"/>
  <c r="Q26" i="31"/>
  <c r="S26" i="31" s="1"/>
  <c r="Q30" i="31"/>
  <c r="S30" i="31" s="1"/>
  <c r="Q35" i="31"/>
  <c r="S35" i="31" s="1"/>
  <c r="Q40" i="31"/>
  <c r="S40" i="31" s="1"/>
  <c r="Q44" i="31"/>
  <c r="S44" i="31" s="1"/>
  <c r="R46" i="31"/>
  <c r="S46" i="31" s="1"/>
  <c r="Q49" i="31"/>
  <c r="S49" i="31" s="1"/>
  <c r="Q54" i="31"/>
  <c r="S54" i="31" s="1"/>
  <c r="Q58" i="31"/>
  <c r="S58" i="31" s="1"/>
  <c r="Q63" i="31"/>
  <c r="S63" i="31" s="1"/>
  <c r="S88" i="30"/>
  <c r="O109" i="30"/>
  <c r="N109" i="30"/>
  <c r="S104" i="30"/>
  <c r="S96" i="30"/>
  <c r="S82" i="30"/>
  <c r="S100" i="30"/>
  <c r="S94" i="30"/>
  <c r="S84" i="30"/>
  <c r="M109" i="30"/>
  <c r="S79" i="30"/>
  <c r="S92" i="30"/>
  <c r="L109" i="30"/>
  <c r="Q118" i="30"/>
  <c r="Q133" i="30" s="1"/>
  <c r="S65" i="30"/>
  <c r="S64" i="30"/>
  <c r="S56" i="30"/>
  <c r="S47" i="30"/>
  <c r="S44" i="30"/>
  <c r="S36" i="30"/>
  <c r="S37" i="30"/>
  <c r="S35" i="30"/>
  <c r="S26" i="30"/>
  <c r="S16" i="30"/>
  <c r="S20" i="30"/>
  <c r="S11" i="30"/>
  <c r="S48" i="30"/>
  <c r="S60" i="30"/>
  <c r="S63" i="30"/>
  <c r="Q15" i="30"/>
  <c r="S15" i="30" s="1"/>
  <c r="Q25" i="30"/>
  <c r="S25" i="30" s="1"/>
  <c r="Q34" i="30"/>
  <c r="S34" i="30" s="1"/>
  <c r="Q14" i="30"/>
  <c r="S14" i="30" s="1"/>
  <c r="Q23" i="30"/>
  <c r="S23" i="30" s="1"/>
  <c r="Q33" i="30"/>
  <c r="S33" i="30" s="1"/>
  <c r="Q42" i="30"/>
  <c r="S42" i="30" s="1"/>
  <c r="R43" i="30"/>
  <c r="S43" i="30" s="1"/>
  <c r="Q51" i="30"/>
  <c r="S51" i="30" s="1"/>
  <c r="R53" i="30"/>
  <c r="S53" i="30" s="1"/>
  <c r="Q61" i="30"/>
  <c r="S61" i="30" s="1"/>
  <c r="R62" i="30"/>
  <c r="S62" i="30" s="1"/>
  <c r="Q13" i="30"/>
  <c r="S13" i="30" s="1"/>
  <c r="Q22" i="30"/>
  <c r="S22" i="30" s="1"/>
  <c r="Q32" i="30"/>
  <c r="S32" i="30" s="1"/>
  <c r="Q41" i="30"/>
  <c r="S41" i="30" s="1"/>
  <c r="Q12" i="30"/>
  <c r="S12" i="30" s="1"/>
  <c r="Q21" i="30"/>
  <c r="S21" i="30" s="1"/>
  <c r="Q30" i="30"/>
  <c r="S30" i="30" s="1"/>
  <c r="Q40" i="30"/>
  <c r="S40" i="30" s="1"/>
  <c r="Q49" i="30"/>
  <c r="S49" i="30" s="1"/>
  <c r="Q58" i="30"/>
  <c r="S58" i="30" s="1"/>
  <c r="S76" i="30"/>
  <c r="S11" i="29"/>
  <c r="S37" i="29"/>
  <c r="S12" i="29"/>
  <c r="S28" i="29"/>
  <c r="S65" i="29"/>
  <c r="S19" i="29"/>
  <c r="Q14" i="29"/>
  <c r="S14" i="29" s="1"/>
  <c r="Q23" i="29"/>
  <c r="S23" i="29" s="1"/>
  <c r="Q33" i="29"/>
  <c r="S33" i="29" s="1"/>
  <c r="Q42" i="29"/>
  <c r="S42" i="29" s="1"/>
  <c r="Q51" i="29"/>
  <c r="S51" i="29" s="1"/>
  <c r="Q61" i="29"/>
  <c r="S61" i="29" s="1"/>
  <c r="Q18" i="29"/>
  <c r="S18" i="29" s="1"/>
  <c r="Q27" i="29"/>
  <c r="S27" i="29" s="1"/>
  <c r="Q36" i="29"/>
  <c r="S36" i="29" s="1"/>
  <c r="Q46" i="29"/>
  <c r="S46" i="29" s="1"/>
  <c r="Q55" i="29"/>
  <c r="S55" i="29" s="1"/>
  <c r="Q64" i="29"/>
  <c r="S64" i="29" s="1"/>
  <c r="Q16" i="29"/>
  <c r="S16" i="29" s="1"/>
  <c r="Q26" i="29"/>
  <c r="S26" i="29" s="1"/>
  <c r="Q35" i="29"/>
  <c r="S35" i="29" s="1"/>
  <c r="Q44" i="29"/>
  <c r="S44" i="29" s="1"/>
  <c r="Q54" i="29"/>
  <c r="S54" i="29" s="1"/>
  <c r="Q63" i="29"/>
  <c r="S63" i="29" s="1"/>
  <c r="Q118" i="28"/>
  <c r="Q133" i="28" s="1"/>
  <c r="S96" i="28"/>
  <c r="S106" i="28"/>
  <c r="S104" i="28"/>
  <c r="S100" i="28"/>
  <c r="S88" i="28"/>
  <c r="S94" i="28"/>
  <c r="S92" i="28"/>
  <c r="M109" i="28"/>
  <c r="L109" i="28"/>
  <c r="N109" i="28"/>
  <c r="S84" i="28"/>
  <c r="S80" i="28"/>
  <c r="O109" i="28"/>
  <c r="S63" i="28"/>
  <c r="S62" i="28"/>
  <c r="S44" i="28"/>
  <c r="S43" i="28"/>
  <c r="S34" i="28"/>
  <c r="S33" i="28"/>
  <c r="S27" i="28"/>
  <c r="S18" i="28"/>
  <c r="S42" i="28"/>
  <c r="S14" i="28"/>
  <c r="S53" i="28"/>
  <c r="S58" i="28"/>
  <c r="Q51" i="28"/>
  <c r="S51" i="28" s="1"/>
  <c r="Q61" i="28"/>
  <c r="S61" i="28" s="1"/>
  <c r="Q13" i="28"/>
  <c r="S13" i="28" s="1"/>
  <c r="Q22" i="28"/>
  <c r="S22" i="28" s="1"/>
  <c r="Q32" i="28"/>
  <c r="S32" i="28" s="1"/>
  <c r="Q41" i="28"/>
  <c r="S41" i="28" s="1"/>
  <c r="Q50" i="28"/>
  <c r="S50" i="28" s="1"/>
  <c r="Q60" i="28"/>
  <c r="S60" i="28" s="1"/>
  <c r="Q12" i="28"/>
  <c r="S12" i="28" s="1"/>
  <c r="Q21" i="28"/>
  <c r="S21" i="28" s="1"/>
  <c r="Q30" i="28"/>
  <c r="S30" i="28" s="1"/>
  <c r="Q40" i="28"/>
  <c r="S40" i="28" s="1"/>
  <c r="Q49" i="28"/>
  <c r="S49" i="28" s="1"/>
  <c r="Q11" i="28"/>
  <c r="S11" i="28" s="1"/>
  <c r="Q20" i="28"/>
  <c r="S20" i="28" s="1"/>
  <c r="Q29" i="28"/>
  <c r="S29" i="28" s="1"/>
  <c r="Q39" i="28"/>
  <c r="S39" i="28" s="1"/>
  <c r="Q48" i="28"/>
  <c r="S48" i="28" s="1"/>
  <c r="Q57" i="28"/>
  <c r="S57" i="28" s="1"/>
  <c r="Q19" i="28"/>
  <c r="S19" i="28" s="1"/>
  <c r="Q28" i="28"/>
  <c r="S28" i="28" s="1"/>
  <c r="Q37" i="28"/>
  <c r="S37" i="28" s="1"/>
  <c r="Q47" i="28"/>
  <c r="S47" i="28" s="1"/>
  <c r="Q56" i="28"/>
  <c r="S56" i="28" s="1"/>
  <c r="Q65" i="28"/>
  <c r="S65" i="28" s="1"/>
  <c r="Q46" i="28"/>
  <c r="S46" i="28" s="1"/>
  <c r="Q55" i="28"/>
  <c r="S55" i="28" s="1"/>
  <c r="Q64" i="28"/>
  <c r="S64" i="28" s="1"/>
  <c r="Q118" i="27"/>
  <c r="Q133" i="27" s="1"/>
  <c r="S80" i="27"/>
  <c r="O109" i="27"/>
  <c r="S106" i="27"/>
  <c r="N109" i="27"/>
  <c r="S92" i="27"/>
  <c r="S90" i="27"/>
  <c r="S100" i="27"/>
  <c r="M109" i="27"/>
  <c r="S84" i="27"/>
  <c r="S94" i="27"/>
  <c r="S65" i="27"/>
  <c r="S63" i="27"/>
  <c r="S55" i="27"/>
  <c r="S48" i="27"/>
  <c r="S46" i="27"/>
  <c r="S44" i="27"/>
  <c r="S39" i="27"/>
  <c r="S37" i="27"/>
  <c r="S35" i="27"/>
  <c r="S20" i="27"/>
  <c r="S11" i="27"/>
  <c r="Q14" i="27"/>
  <c r="S14" i="27" s="1"/>
  <c r="R15" i="27"/>
  <c r="S15" i="27" s="1"/>
  <c r="Q23" i="27"/>
  <c r="S23" i="27" s="1"/>
  <c r="R25" i="27"/>
  <c r="S25" i="27" s="1"/>
  <c r="Q33" i="27"/>
  <c r="S33" i="27" s="1"/>
  <c r="R34" i="27"/>
  <c r="S34" i="27" s="1"/>
  <c r="Q42" i="27"/>
  <c r="S42" i="27" s="1"/>
  <c r="R43" i="27"/>
  <c r="S43" i="27" s="1"/>
  <c r="Q51" i="27"/>
  <c r="S51" i="27" s="1"/>
  <c r="R53" i="27"/>
  <c r="S53" i="27" s="1"/>
  <c r="Q61" i="27"/>
  <c r="S61" i="27" s="1"/>
  <c r="R62" i="27"/>
  <c r="S62" i="27" s="1"/>
  <c r="L109" i="27"/>
  <c r="Q13" i="27"/>
  <c r="S13" i="27" s="1"/>
  <c r="Q22" i="27"/>
  <c r="S22" i="27" s="1"/>
  <c r="Q32" i="27"/>
  <c r="S32" i="27" s="1"/>
  <c r="Q41" i="27"/>
  <c r="S41" i="27" s="1"/>
  <c r="Q50" i="27"/>
  <c r="S50" i="27" s="1"/>
  <c r="Q60" i="27"/>
  <c r="S60" i="27" s="1"/>
  <c r="Q12" i="27"/>
  <c r="S12" i="27" s="1"/>
  <c r="Q21" i="27"/>
  <c r="S21" i="27" s="1"/>
  <c r="Q30" i="27"/>
  <c r="S30" i="27" s="1"/>
  <c r="Q40" i="27"/>
  <c r="S40" i="27" s="1"/>
  <c r="Q49" i="27"/>
  <c r="S49" i="27" s="1"/>
  <c r="Q58" i="27"/>
  <c r="S58" i="27" s="1"/>
  <c r="Q64" i="27"/>
  <c r="S64" i="27" s="1"/>
  <c r="Q118" i="26"/>
  <c r="Q133" i="26" s="1"/>
  <c r="O109" i="26"/>
  <c r="S84" i="26"/>
  <c r="S86" i="26"/>
  <c r="S88" i="26"/>
  <c r="S90" i="26"/>
  <c r="S105" i="26"/>
  <c r="S92" i="26"/>
  <c r="S94" i="26"/>
  <c r="S96" i="26"/>
  <c r="S98" i="26"/>
  <c r="S87" i="26"/>
  <c r="S89" i="26"/>
  <c r="S102" i="26"/>
  <c r="S104" i="26"/>
  <c r="S106" i="26"/>
  <c r="L109" i="26"/>
  <c r="S76" i="26"/>
  <c r="S78" i="26"/>
  <c r="S80" i="26"/>
  <c r="S82" i="26"/>
  <c r="S95" i="26"/>
  <c r="S97" i="26"/>
  <c r="S47" i="26"/>
  <c r="S32" i="26"/>
  <c r="S29" i="26"/>
  <c r="S21" i="26"/>
  <c r="S12" i="26"/>
  <c r="S19" i="26"/>
  <c r="S65" i="26"/>
  <c r="S37" i="26"/>
  <c r="S54" i="26"/>
  <c r="S56" i="26"/>
  <c r="S63" i="26"/>
  <c r="Q14" i="26"/>
  <c r="S14" i="26" s="1"/>
  <c r="R15" i="26"/>
  <c r="S15" i="26" s="1"/>
  <c r="Q23" i="26"/>
  <c r="S23" i="26" s="1"/>
  <c r="R25" i="26"/>
  <c r="S25" i="26" s="1"/>
  <c r="Q33" i="26"/>
  <c r="S33" i="26" s="1"/>
  <c r="R34" i="26"/>
  <c r="S34" i="26" s="1"/>
  <c r="Q42" i="26"/>
  <c r="S42" i="26" s="1"/>
  <c r="R43" i="26"/>
  <c r="S43" i="26" s="1"/>
  <c r="Q51" i="26"/>
  <c r="S51" i="26" s="1"/>
  <c r="R53" i="26"/>
  <c r="S53" i="26" s="1"/>
  <c r="Q61" i="26"/>
  <c r="S61" i="26" s="1"/>
  <c r="R62" i="26"/>
  <c r="S62" i="26" s="1"/>
  <c r="Q60" i="26"/>
  <c r="S60" i="26" s="1"/>
  <c r="M109" i="26"/>
  <c r="Q27" i="26"/>
  <c r="S27" i="26" s="1"/>
  <c r="Q36" i="26"/>
  <c r="S36" i="26" s="1"/>
  <c r="Q55" i="26"/>
  <c r="S55" i="26" s="1"/>
  <c r="Q64" i="26"/>
  <c r="S64" i="26" s="1"/>
  <c r="Q16" i="26"/>
  <c r="S16" i="26" s="1"/>
  <c r="Q26" i="26"/>
  <c r="S26" i="26" s="1"/>
  <c r="Q35" i="26"/>
  <c r="S35" i="26" s="1"/>
  <c r="Q44" i="26"/>
  <c r="S44" i="26" s="1"/>
  <c r="S55" i="24"/>
  <c r="S18" i="24"/>
  <c r="Q14" i="24"/>
  <c r="S14" i="24" s="1"/>
  <c r="R15" i="24"/>
  <c r="S15" i="24" s="1"/>
  <c r="Q23" i="24"/>
  <c r="S23" i="24" s="1"/>
  <c r="R25" i="24"/>
  <c r="S25" i="24" s="1"/>
  <c r="Q33" i="24"/>
  <c r="R34" i="24"/>
  <c r="Q42" i="24"/>
  <c r="S42" i="24" s="1"/>
  <c r="R43" i="24"/>
  <c r="S43" i="24" s="1"/>
  <c r="Q51" i="24"/>
  <c r="S51" i="24" s="1"/>
  <c r="R53" i="24"/>
  <c r="S53" i="24" s="1"/>
  <c r="R62" i="24"/>
  <c r="L109" i="24"/>
  <c r="Q13" i="24"/>
  <c r="S13" i="24" s="1"/>
  <c r="Q22" i="24"/>
  <c r="S22" i="24" s="1"/>
  <c r="Q32" i="24"/>
  <c r="S32" i="24" s="1"/>
  <c r="Q41" i="24"/>
  <c r="S41" i="24" s="1"/>
  <c r="Q50" i="24"/>
  <c r="S50" i="24" s="1"/>
  <c r="Q60" i="24"/>
  <c r="S60" i="24" s="1"/>
  <c r="Q16" i="24"/>
  <c r="S16" i="24" s="1"/>
  <c r="Q26" i="24"/>
  <c r="S26" i="24" s="1"/>
  <c r="Q35" i="24"/>
  <c r="Q44" i="24"/>
  <c r="S44" i="24" s="1"/>
  <c r="Q54" i="24"/>
  <c r="S54" i="24" s="1"/>
  <c r="Q63" i="24"/>
  <c r="S63" i="24" s="1"/>
  <c r="S34" i="23"/>
  <c r="S40" i="23"/>
  <c r="S12" i="23"/>
  <c r="S53" i="23"/>
  <c r="S30" i="23"/>
  <c r="Q14" i="23"/>
  <c r="S14" i="23" s="1"/>
  <c r="Q23" i="23"/>
  <c r="S23" i="23" s="1"/>
  <c r="Q33" i="23"/>
  <c r="S33" i="23" s="1"/>
  <c r="Q42" i="23"/>
  <c r="S42" i="23" s="1"/>
  <c r="Q51" i="23"/>
  <c r="S51" i="23" s="1"/>
  <c r="Q61" i="23"/>
  <c r="S61" i="23" s="1"/>
  <c r="R62" i="23"/>
  <c r="Q60" i="23"/>
  <c r="S60" i="23" s="1"/>
  <c r="M109" i="23"/>
  <c r="Q58" i="23"/>
  <c r="S58" i="23" s="1"/>
  <c r="Q19" i="23"/>
  <c r="S19" i="23" s="1"/>
  <c r="Q28" i="23"/>
  <c r="S28" i="23" s="1"/>
  <c r="Q37" i="23"/>
  <c r="S37" i="23" s="1"/>
  <c r="Q47" i="23"/>
  <c r="S47" i="23" s="1"/>
  <c r="Q56" i="23"/>
  <c r="S56" i="23" s="1"/>
  <c r="Q64" i="23"/>
  <c r="S64" i="23" s="1"/>
  <c r="Q16" i="23"/>
  <c r="S16" i="23" s="1"/>
  <c r="Q26" i="23"/>
  <c r="S26" i="23" s="1"/>
  <c r="Q35" i="23"/>
  <c r="S35" i="23" s="1"/>
  <c r="Q44" i="23"/>
  <c r="S44" i="23" s="1"/>
  <c r="Q54" i="23"/>
  <c r="S54" i="23" s="1"/>
  <c r="Q63" i="23"/>
  <c r="S63" i="23" s="1"/>
  <c r="Q118" i="22"/>
  <c r="Q133" i="22" s="1"/>
  <c r="S80" i="22"/>
  <c r="S79" i="22"/>
  <c r="S81" i="22"/>
  <c r="S92" i="22"/>
  <c r="S94" i="22"/>
  <c r="S96" i="22"/>
  <c r="S98" i="22"/>
  <c r="S87" i="22"/>
  <c r="S89" i="22"/>
  <c r="S100" i="22"/>
  <c r="S102" i="22"/>
  <c r="S104" i="22"/>
  <c r="S106" i="22"/>
  <c r="L109" i="22"/>
  <c r="N109" i="22"/>
  <c r="S82" i="22"/>
  <c r="O109" i="22"/>
  <c r="S84" i="22"/>
  <c r="S86" i="22"/>
  <c r="S88" i="22"/>
  <c r="S103" i="22"/>
  <c r="S105" i="22"/>
  <c r="S107" i="22"/>
  <c r="S51" i="22"/>
  <c r="S49" i="22"/>
  <c r="S34" i="22"/>
  <c r="S21" i="22"/>
  <c r="S14" i="22"/>
  <c r="S40" i="22"/>
  <c r="S33" i="22"/>
  <c r="S26" i="22"/>
  <c r="S32" i="22"/>
  <c r="S53" i="22"/>
  <c r="S63" i="22"/>
  <c r="S60" i="22"/>
  <c r="S61" i="22"/>
  <c r="S43" i="22"/>
  <c r="S28" i="22"/>
  <c r="S30" i="22"/>
  <c r="S23" i="22"/>
  <c r="S13" i="22"/>
  <c r="S16" i="22"/>
  <c r="S37" i="22"/>
  <c r="S41" i="22"/>
  <c r="S65" i="22"/>
  <c r="S19" i="22"/>
  <c r="S22" i="22"/>
  <c r="S62" i="22"/>
  <c r="S47" i="22"/>
  <c r="S50" i="22"/>
  <c r="R44" i="22"/>
  <c r="S44" i="22" s="1"/>
  <c r="R54" i="22"/>
  <c r="S54" i="22" s="1"/>
  <c r="M109" i="22"/>
  <c r="Q20" i="22"/>
  <c r="S20" i="22" s="1"/>
  <c r="Q29" i="22"/>
  <c r="S29" i="22" s="1"/>
  <c r="Q39" i="22"/>
  <c r="S39" i="22" s="1"/>
  <c r="Q57" i="22"/>
  <c r="S57" i="22" s="1"/>
  <c r="R11" i="22"/>
  <c r="S11" i="22" s="1"/>
  <c r="R48" i="22"/>
  <c r="S48" i="22" s="1"/>
  <c r="Q56" i="22"/>
  <c r="S56" i="22" s="1"/>
  <c r="Q18" i="22"/>
  <c r="S18" i="22" s="1"/>
  <c r="Q27" i="22"/>
  <c r="S27" i="22" s="1"/>
  <c r="Q36" i="22"/>
  <c r="S36" i="22" s="1"/>
  <c r="Q46" i="22"/>
  <c r="S46" i="22" s="1"/>
  <c r="Q55" i="22"/>
  <c r="S55" i="22" s="1"/>
  <c r="Q64" i="22"/>
  <c r="S64" i="22" s="1"/>
  <c r="Q118" i="20"/>
  <c r="Q133" i="20" s="1"/>
  <c r="S106" i="20"/>
  <c r="S100" i="20"/>
  <c r="S80" i="20"/>
  <c r="S88" i="20"/>
  <c r="S94" i="20"/>
  <c r="S92" i="20"/>
  <c r="O109" i="20"/>
  <c r="S84" i="20"/>
  <c r="M109" i="20"/>
  <c r="S64" i="20"/>
  <c r="S63" i="20"/>
  <c r="S102" i="20"/>
  <c r="S55" i="20"/>
  <c r="S96" i="20"/>
  <c r="S48" i="20"/>
  <c r="S42" i="20"/>
  <c r="S36" i="20"/>
  <c r="S34" i="20"/>
  <c r="S30" i="20"/>
  <c r="S29" i="20"/>
  <c r="S21" i="20"/>
  <c r="S20" i="20"/>
  <c r="S78" i="20"/>
  <c r="L109" i="20"/>
  <c r="S79" i="20"/>
  <c r="S16" i="20"/>
  <c r="S15" i="20"/>
  <c r="S14" i="20"/>
  <c r="S13" i="20"/>
  <c r="S37" i="20"/>
  <c r="S11" i="20"/>
  <c r="S23" i="20"/>
  <c r="S65" i="20"/>
  <c r="Q58" i="20"/>
  <c r="S58" i="20" s="1"/>
  <c r="Q18" i="20"/>
  <c r="S18" i="20" s="1"/>
  <c r="Q25" i="20"/>
  <c r="S25" i="20" s="1"/>
  <c r="Q32" i="20"/>
  <c r="S32" i="20" s="1"/>
  <c r="Q39" i="20"/>
  <c r="S39" i="20" s="1"/>
  <c r="R44" i="20"/>
  <c r="S44" i="20" s="1"/>
  <c r="Q46" i="20"/>
  <c r="S46" i="20" s="1"/>
  <c r="R51" i="20"/>
  <c r="S51" i="20" s="1"/>
  <c r="Q53" i="20"/>
  <c r="S53" i="20" s="1"/>
  <c r="Q60" i="20"/>
  <c r="S60" i="20" s="1"/>
  <c r="N109" i="20"/>
  <c r="Q12" i="20"/>
  <c r="S12" i="20" s="1"/>
  <c r="Q19" i="20"/>
  <c r="S19" i="20" s="1"/>
  <c r="Q26" i="20"/>
  <c r="S26" i="20" s="1"/>
  <c r="Q33" i="20"/>
  <c r="S33" i="20" s="1"/>
  <c r="Q40" i="20"/>
  <c r="S40" i="20" s="1"/>
  <c r="Q47" i="20"/>
  <c r="S47" i="20" s="1"/>
  <c r="Q54" i="20"/>
  <c r="S54" i="20" s="1"/>
  <c r="Q61" i="20"/>
  <c r="S61" i="20" s="1"/>
  <c r="S76" i="20"/>
  <c r="S79" i="19"/>
  <c r="S83" i="19"/>
  <c r="S85" i="19"/>
  <c r="S87" i="19"/>
  <c r="S91" i="19"/>
  <c r="S93" i="19"/>
  <c r="S95" i="19"/>
  <c r="S97" i="19"/>
  <c r="S53" i="19"/>
  <c r="S41" i="19"/>
  <c r="S36" i="19"/>
  <c r="Q50" i="19"/>
  <c r="R25" i="19"/>
  <c r="S25" i="19" s="1"/>
  <c r="Q39" i="19"/>
  <c r="R39" i="19"/>
  <c r="R43" i="19"/>
  <c r="Q43" i="19"/>
  <c r="S43" i="19" s="1"/>
  <c r="Q34" i="19"/>
  <c r="Q13" i="19"/>
  <c r="S13" i="19" s="1"/>
  <c r="S32" i="19"/>
  <c r="R30" i="19"/>
  <c r="Q30" i="19"/>
  <c r="S30" i="19" s="1"/>
  <c r="Q29" i="19"/>
  <c r="S29" i="19" s="1"/>
  <c r="Q65" i="19"/>
  <c r="S65" i="19" s="1"/>
  <c r="Q27" i="19"/>
  <c r="S27" i="19" s="1"/>
  <c r="Q48" i="19"/>
  <c r="Q22" i="19"/>
  <c r="S22" i="19" s="1"/>
  <c r="Q46" i="19"/>
  <c r="S46" i="19" s="1"/>
  <c r="R19" i="19"/>
  <c r="S19" i="19" s="1"/>
  <c r="R15" i="19"/>
  <c r="R18" i="19"/>
  <c r="S18" i="19" s="1"/>
  <c r="R20" i="19"/>
  <c r="S20" i="19" s="1"/>
  <c r="R58" i="19"/>
  <c r="S58" i="19" s="1"/>
  <c r="R37" i="19"/>
  <c r="S37" i="19" s="1"/>
  <c r="R28" i="19"/>
  <c r="S28" i="19" s="1"/>
  <c r="Q61" i="19"/>
  <c r="S61" i="19" s="1"/>
  <c r="R56" i="19"/>
  <c r="S56" i="19" s="1"/>
  <c r="R44" i="19"/>
  <c r="Q63" i="19"/>
  <c r="S63" i="19" s="1"/>
  <c r="R51" i="19"/>
  <c r="R33" i="19"/>
  <c r="S33" i="19" s="1"/>
  <c r="Q49" i="19"/>
  <c r="R42" i="19"/>
  <c r="S42" i="19" s="1"/>
  <c r="R23" i="19"/>
  <c r="S23" i="19" s="1"/>
  <c r="R40" i="19"/>
  <c r="R47" i="19"/>
  <c r="S47" i="19" s="1"/>
  <c r="S106" i="19"/>
  <c r="S34" i="19"/>
  <c r="S50" i="19"/>
  <c r="S77" i="19"/>
  <c r="R16" i="19"/>
  <c r="R64" i="19"/>
  <c r="S78" i="19"/>
  <c r="S82" i="19"/>
  <c r="S96" i="19"/>
  <c r="O109" i="19"/>
  <c r="S103" i="19"/>
  <c r="N109" i="19"/>
  <c r="S76" i="19"/>
  <c r="Q15" i="19"/>
  <c r="Q26" i="19"/>
  <c r="R26" i="19"/>
  <c r="Q35" i="19"/>
  <c r="R35" i="19"/>
  <c r="Q54" i="19"/>
  <c r="R54" i="19"/>
  <c r="S49" i="19"/>
  <c r="S40" i="19"/>
  <c r="S44" i="19"/>
  <c r="S51" i="19"/>
  <c r="Q118" i="19"/>
  <c r="Q133" i="19" s="1"/>
  <c r="Q57" i="19"/>
  <c r="R57" i="19"/>
  <c r="S11" i="19"/>
  <c r="R12" i="19"/>
  <c r="Q12" i="19"/>
  <c r="Q21" i="19"/>
  <c r="R21" i="19"/>
  <c r="Q55" i="19"/>
  <c r="S55" i="19" s="1"/>
  <c r="S48" i="19"/>
  <c r="Q14" i="19"/>
  <c r="S14" i="19" s="1"/>
  <c r="Q16" i="19"/>
  <c r="S94" i="19"/>
  <c r="S100" i="19"/>
  <c r="S102" i="19"/>
  <c r="S104" i="19"/>
  <c r="R60" i="19"/>
  <c r="S60" i="19" s="1"/>
  <c r="R62" i="19"/>
  <c r="S62" i="19" s="1"/>
  <c r="Q64" i="19"/>
  <c r="L109" i="19"/>
  <c r="S80" i="19"/>
  <c r="S84" i="19"/>
  <c r="S90" i="19"/>
  <c r="S92" i="19"/>
  <c r="M109" i="19"/>
  <c r="S89" i="19"/>
  <c r="S81" i="19"/>
  <c r="S11" i="37" l="1"/>
  <c r="Q68" i="29"/>
  <c r="Q131" i="29" s="1"/>
  <c r="Q135" i="29" s="1"/>
  <c r="Q68" i="38"/>
  <c r="Q131" i="38" s="1"/>
  <c r="Q135" i="38" s="1"/>
  <c r="Q68" i="37"/>
  <c r="Q131" i="37" s="1"/>
  <c r="Q135" i="37" s="1"/>
  <c r="S48" i="24"/>
  <c r="Q68" i="36"/>
  <c r="Q131" i="36" s="1"/>
  <c r="Q135" i="36" s="1"/>
  <c r="S34" i="24"/>
  <c r="S35" i="24"/>
  <c r="S33" i="24"/>
  <c r="Q68" i="24" s="1"/>
  <c r="Q131" i="24" s="1"/>
  <c r="Q135" i="24" s="1"/>
  <c r="S65" i="24"/>
  <c r="S49" i="24"/>
  <c r="Q109" i="35"/>
  <c r="Q132" i="35" s="1"/>
  <c r="Q68" i="35"/>
  <c r="Q131" i="35" s="1"/>
  <c r="Q109" i="34"/>
  <c r="Q132" i="34" s="1"/>
  <c r="Q68" i="34"/>
  <c r="Q131" i="34" s="1"/>
  <c r="Q109" i="33"/>
  <c r="Q132" i="33" s="1"/>
  <c r="Q68" i="33"/>
  <c r="Q131" i="33" s="1"/>
  <c r="Q109" i="23"/>
  <c r="Q132" i="23" s="1"/>
  <c r="S39" i="23"/>
  <c r="S22" i="23"/>
  <c r="S62" i="23"/>
  <c r="Q68" i="23"/>
  <c r="Q131" i="23" s="1"/>
  <c r="Q109" i="32"/>
  <c r="Q132" i="32" s="1"/>
  <c r="Q68" i="32"/>
  <c r="Q131" i="32" s="1"/>
  <c r="Q109" i="31"/>
  <c r="Q132" i="31" s="1"/>
  <c r="Q68" i="31"/>
  <c r="Q131" i="31" s="1"/>
  <c r="Q109" i="30"/>
  <c r="Q132" i="30" s="1"/>
  <c r="Q68" i="30"/>
  <c r="Q131" i="30" s="1"/>
  <c r="Q109" i="28"/>
  <c r="Q132" i="28" s="1"/>
  <c r="Q68" i="28"/>
  <c r="Q131" i="28" s="1"/>
  <c r="Q109" i="27"/>
  <c r="Q132" i="27" s="1"/>
  <c r="Q68" i="27"/>
  <c r="Q131" i="27" s="1"/>
  <c r="Q109" i="26"/>
  <c r="Q132" i="26" s="1"/>
  <c r="Q68" i="26"/>
  <c r="Q131" i="26" s="1"/>
  <c r="Q109" i="22"/>
  <c r="Q132" i="22" s="1"/>
  <c r="Q68" i="22"/>
  <c r="Q131" i="22" s="1"/>
  <c r="Q109" i="20"/>
  <c r="Q132" i="20" s="1"/>
  <c r="Q68" i="20"/>
  <c r="Q131" i="20" s="1"/>
  <c r="S64" i="19"/>
  <c r="S15" i="19"/>
  <c r="S39" i="19"/>
  <c r="S12" i="19"/>
  <c r="S35" i="19"/>
  <c r="S26" i="19"/>
  <c r="S16" i="19"/>
  <c r="S21" i="19"/>
  <c r="S57" i="19"/>
  <c r="S54" i="19"/>
  <c r="Q109" i="19"/>
  <c r="Q132" i="19" s="1"/>
  <c r="Q135" i="33" l="1"/>
  <c r="Q135" i="35"/>
  <c r="Q135" i="34"/>
  <c r="Q135" i="23"/>
  <c r="Q135" i="32"/>
  <c r="Q135" i="31"/>
  <c r="Q135" i="30"/>
  <c r="Q135" i="28"/>
  <c r="Q135" i="27"/>
  <c r="Q135" i="26"/>
  <c r="Q135" i="22"/>
  <c r="Q135" i="20"/>
  <c r="Q68" i="19"/>
  <c r="Q131" i="19" s="1"/>
  <c r="Q135" i="19" s="1"/>
</calcChain>
</file>

<file path=xl/sharedStrings.xml><?xml version="1.0" encoding="utf-8"?>
<sst xmlns="http://schemas.openxmlformats.org/spreadsheetml/2006/main" count="4373" uniqueCount="168">
  <si>
    <t>Grupo A</t>
  </si>
  <si>
    <t>Partido</t>
  </si>
  <si>
    <t>Resultado</t>
  </si>
  <si>
    <t>México</t>
  </si>
  <si>
    <t>Uruguay</t>
  </si>
  <si>
    <t>Francia</t>
  </si>
  <si>
    <t>Grupo B</t>
  </si>
  <si>
    <t>Argentina</t>
  </si>
  <si>
    <t>Grupo C</t>
  </si>
  <si>
    <t>Inglaterra</t>
  </si>
  <si>
    <t>Grupo D</t>
  </si>
  <si>
    <t>Alemania</t>
  </si>
  <si>
    <t>Australia</t>
  </si>
  <si>
    <t>Ghana</t>
  </si>
  <si>
    <t>Grupo E</t>
  </si>
  <si>
    <t>Japón</t>
  </si>
  <si>
    <t>Camerún</t>
  </si>
  <si>
    <t>Grupo F</t>
  </si>
  <si>
    <t>Grupo G</t>
  </si>
  <si>
    <t>Portugal</t>
  </si>
  <si>
    <t>Brasil</t>
  </si>
  <si>
    <t>Grupo H</t>
  </si>
  <si>
    <t>España</t>
  </si>
  <si>
    <t>Suiza</t>
  </si>
  <si>
    <t>USA</t>
  </si>
  <si>
    <t>Pts</t>
  </si>
  <si>
    <t>Real</t>
  </si>
  <si>
    <t>PARTICIPANTE:</t>
  </si>
  <si>
    <t>Total</t>
  </si>
  <si>
    <t>Resu</t>
  </si>
  <si>
    <t>Exac</t>
  </si>
  <si>
    <t>No tocar Columnas</t>
  </si>
  <si>
    <t>TOTAL PUNTOS PRIMERA FASE</t>
  </si>
  <si>
    <t>CLASIFICACIÓN FINAL</t>
  </si>
  <si>
    <t>F</t>
  </si>
  <si>
    <t>SF</t>
  </si>
  <si>
    <t>OTRAS FASES</t>
  </si>
  <si>
    <t>8F</t>
  </si>
  <si>
    <t>4F</t>
  </si>
  <si>
    <t>Equipos a marcar</t>
  </si>
  <si>
    <t>Puntos por acierto</t>
  </si>
  <si>
    <t>Suyo</t>
  </si>
  <si>
    <t>Fases</t>
  </si>
  <si>
    <t xml:space="preserve">(Marque con una X, cada fase </t>
  </si>
  <si>
    <t>que cree que superará cada selección)</t>
  </si>
  <si>
    <t>TOTAL PUNTOS OTRAS FASES</t>
  </si>
  <si>
    <t>GOLEADORES</t>
  </si>
  <si>
    <t>Puede poner 3 posibles goleadores. Si acierta alguno, tendrá 10 pts</t>
  </si>
  <si>
    <t>TOTAL PUNTOS GOLEADORES</t>
  </si>
  <si>
    <t>PUNTOS PRIMERA FASE</t>
  </si>
  <si>
    <t>PUNTOS OTRAS FASES</t>
  </si>
  <si>
    <t>PUNTOS GOLEADOR</t>
  </si>
  <si>
    <t>PUNTOS TOTALES</t>
  </si>
  <si>
    <t>Escribir solo en las cajas</t>
  </si>
  <si>
    <t>VERDES</t>
  </si>
  <si>
    <t>Resultado: 1 Pt</t>
  </si>
  <si>
    <t>Exacto: 4 Pts</t>
  </si>
  <si>
    <t>E</t>
  </si>
  <si>
    <t>1 Puesto</t>
  </si>
  <si>
    <t>2 Puesto</t>
  </si>
  <si>
    <t>3 Puesto</t>
  </si>
  <si>
    <t>Premios</t>
  </si>
  <si>
    <t>No toque ni re formatee nada</t>
  </si>
  <si>
    <t>1o.</t>
  </si>
  <si>
    <t>2o.</t>
  </si>
  <si>
    <t>3o.</t>
  </si>
  <si>
    <t>4o.</t>
  </si>
  <si>
    <t>TOTAL PUNTOS CLASIFICACIÓN FINAL</t>
  </si>
  <si>
    <t>PUNTOS CLASIFICACIÓN FINAL</t>
  </si>
  <si>
    <t>10 Pts Acierto</t>
  </si>
  <si>
    <t>8 Pts Acierto</t>
  </si>
  <si>
    <t>6 Pts Acierto</t>
  </si>
  <si>
    <t>4 Pts Acierto</t>
  </si>
  <si>
    <t>RESUMEN PUNTOS</t>
  </si>
  <si>
    <t>Croacia</t>
  </si>
  <si>
    <t>Costa Rica</t>
  </si>
  <si>
    <t>Ecuador</t>
  </si>
  <si>
    <t>Bélgica</t>
  </si>
  <si>
    <t>Fecha</t>
  </si>
  <si>
    <t>Dinamarca</t>
  </si>
  <si>
    <t>Serbia</t>
  </si>
  <si>
    <t>Qatar</t>
  </si>
  <si>
    <t>Senegal</t>
  </si>
  <si>
    <t>Países Bajos</t>
  </si>
  <si>
    <t>Irán</t>
  </si>
  <si>
    <t>Gales</t>
  </si>
  <si>
    <t>Arabia Saudí</t>
  </si>
  <si>
    <t>Polonia</t>
  </si>
  <si>
    <t>Túnez</t>
  </si>
  <si>
    <t>Canadá</t>
  </si>
  <si>
    <t>Marruecos</t>
  </si>
  <si>
    <t>Corea del Sur</t>
  </si>
  <si>
    <t xml:space="preserve">Uruguay </t>
  </si>
  <si>
    <t xml:space="preserve">Gales </t>
  </si>
  <si>
    <t>Corea delSur</t>
  </si>
  <si>
    <t>MUNDIAL DE FÚTBOL QATAR 2022</t>
  </si>
  <si>
    <t>Naranjas</t>
  </si>
  <si>
    <t>JORDI SERRAHIMA</t>
  </si>
  <si>
    <t>X</t>
  </si>
  <si>
    <t>1A</t>
  </si>
  <si>
    <t>2B</t>
  </si>
  <si>
    <t>1C</t>
  </si>
  <si>
    <t>2D</t>
  </si>
  <si>
    <t>1E</t>
  </si>
  <si>
    <t>2F</t>
  </si>
  <si>
    <t>1G</t>
  </si>
  <si>
    <t>2H</t>
  </si>
  <si>
    <t>XXXX</t>
  </si>
  <si>
    <t>1B</t>
  </si>
  <si>
    <t>2A</t>
  </si>
  <si>
    <t>1D</t>
  </si>
  <si>
    <t>2C</t>
  </si>
  <si>
    <t>1F</t>
  </si>
  <si>
    <t>2E</t>
  </si>
  <si>
    <t>1H</t>
  </si>
  <si>
    <t>2G</t>
  </si>
  <si>
    <t>ARGENTINA</t>
  </si>
  <si>
    <t>ESPAÑA</t>
  </si>
  <si>
    <t>FRANCIA</t>
  </si>
  <si>
    <t>ALEMANIA</t>
  </si>
  <si>
    <t>MESSI</t>
  </si>
  <si>
    <t>MBAPPE</t>
  </si>
  <si>
    <t>MORATA</t>
  </si>
  <si>
    <t>ANTONIO BARRIAS</t>
  </si>
  <si>
    <t>PORTUGAL</t>
  </si>
  <si>
    <t>BRASIL</t>
  </si>
  <si>
    <t>INGLATERRA</t>
  </si>
  <si>
    <t>NEYMAR</t>
  </si>
  <si>
    <t>HARRY KANE</t>
  </si>
  <si>
    <t>JORDI CUCURULL BARGALLÓ</t>
  </si>
  <si>
    <t>Álvaro Hernández</t>
  </si>
  <si>
    <t>Mbappe</t>
  </si>
  <si>
    <t>Richarlison</t>
  </si>
  <si>
    <t>Lautaro Martínez</t>
  </si>
  <si>
    <t>Esther Cortés Suris</t>
  </si>
  <si>
    <t>MBAPPÉ</t>
  </si>
  <si>
    <t>MEMPHIS DEPAY</t>
  </si>
  <si>
    <t>EMILIO SOLIS</t>
  </si>
  <si>
    <t>URUGUAY</t>
  </si>
  <si>
    <t>FODEN</t>
  </si>
  <si>
    <t>Belgica</t>
  </si>
  <si>
    <t>Messi</t>
  </si>
  <si>
    <t>Kane</t>
  </si>
  <si>
    <t>Mbape</t>
  </si>
  <si>
    <t>Saúl Ferreras</t>
  </si>
  <si>
    <t>DANIEL SANCHEZ PORTILLO</t>
  </si>
  <si>
    <t>Neymar</t>
  </si>
  <si>
    <t>Javier Vázquez</t>
  </si>
  <si>
    <t>x</t>
  </si>
  <si>
    <t>Julián Álvarez</t>
  </si>
  <si>
    <t>BELGICA</t>
  </si>
  <si>
    <t>XAVIER PONS</t>
  </si>
  <si>
    <t>D10S LEO MESSI</t>
  </si>
  <si>
    <t>Harry kane</t>
  </si>
  <si>
    <t>DANIEL ABARQUERO</t>
  </si>
  <si>
    <t>PAU SILLERO</t>
  </si>
  <si>
    <t>A. FATI</t>
  </si>
  <si>
    <t>Nicolás Díez Cruz</t>
  </si>
  <si>
    <t>Mbappé</t>
  </si>
  <si>
    <t>Lukaku</t>
  </si>
  <si>
    <t>Xavi Sánchez</t>
  </si>
  <si>
    <t>H. Kane</t>
  </si>
  <si>
    <t>Xavier de Ros</t>
  </si>
  <si>
    <t>Paises Bajos</t>
  </si>
  <si>
    <t>Benzema</t>
  </si>
  <si>
    <t>JAUME FÀBREGAS</t>
  </si>
  <si>
    <t>HELENA CASTELLVÍ</t>
  </si>
  <si>
    <t>GRIEZMAN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</si>
</sst>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  <numFmt numFmtId="165" formatCode="h:mm;@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9"/>
      <color indexed="8"/>
      <name val="Arial"/>
      <family val="2"/>
    </font>
    <font>
      <b/>
      <i/>
      <sz val="10"/>
      <color indexed="8"/>
      <name val="Arial"/>
      <family val="2"/>
    </font>
    <font>
      <sz val="10"/>
      <name val="Verdana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right"/>
    </xf>
    <xf numFmtId="0" fontId="0" fillId="6" borderId="1" xfId="0" applyFill="1" applyBorder="1"/>
    <xf numFmtId="0" fontId="3" fillId="6" borderId="1" xfId="0" applyFont="1" applyFill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164" fontId="2" fillId="0" borderId="0" xfId="0" applyNumberFormat="1" applyFont="1"/>
    <xf numFmtId="0" fontId="5" fillId="0" borderId="0" xfId="0" applyFont="1" applyAlignment="1">
      <alignment horizontal="center" textRotation="90"/>
    </xf>
    <xf numFmtId="0" fontId="2" fillId="2" borderId="1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16" fontId="8" fillId="0" borderId="0" xfId="0" applyNumberFormat="1" applyFont="1" applyAlignment="1" applyProtection="1">
      <alignment horizontal="right" vertical="center" indent="1" shrinkToFit="1"/>
      <protection hidden="1"/>
    </xf>
    <xf numFmtId="0" fontId="7" fillId="0" borderId="1" xfId="0" applyFont="1" applyBorder="1" applyAlignment="1">
      <alignment horizontal="left"/>
    </xf>
    <xf numFmtId="0" fontId="0" fillId="0" borderId="1" xfId="0" applyBorder="1"/>
    <xf numFmtId="0" fontId="7" fillId="0" borderId="1" xfId="0" applyFont="1" applyBorder="1"/>
    <xf numFmtId="9" fontId="2" fillId="0" borderId="0" xfId="2" applyFont="1" applyFill="1"/>
    <xf numFmtId="164" fontId="2" fillId="0" borderId="0" xfId="1" applyNumberFormat="1" applyFont="1" applyAlignment="1">
      <alignment horizontal="left"/>
    </xf>
    <xf numFmtId="16" fontId="9" fillId="0" borderId="0" xfId="0" applyNumberFormat="1" applyFont="1" applyAlignment="1" applyProtection="1">
      <alignment horizontal="right" vertical="center" indent="1" shrinkToFit="1"/>
      <protection hidden="1"/>
    </xf>
    <xf numFmtId="165" fontId="9" fillId="0" borderId="0" xfId="0" applyNumberFormat="1" applyFont="1" applyAlignment="1" applyProtection="1">
      <alignment horizontal="right" vertical="center"/>
      <protection hidden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 applyProtection="1">
      <alignment horizontal="center" wrapText="1"/>
      <protection locked="0"/>
    </xf>
    <xf numFmtId="0" fontId="0" fillId="9" borderId="1" xfId="0" applyFill="1" applyBorder="1" applyAlignment="1" applyProtection="1">
      <alignment horizontal="center"/>
      <protection locked="0"/>
    </xf>
    <xf numFmtId="0" fontId="7" fillId="9" borderId="1" xfId="0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9" fontId="2" fillId="0" borderId="0" xfId="2" applyFont="1" applyFill="1" applyProtection="1">
      <protection hidden="1"/>
    </xf>
    <xf numFmtId="0" fontId="4" fillId="0" borderId="0" xfId="0" applyFont="1" applyAlignment="1" applyProtection="1">
      <alignment horizontal="left"/>
      <protection hidden="1"/>
    </xf>
    <xf numFmtId="164" fontId="2" fillId="0" borderId="0" xfId="1" applyNumberFormat="1" applyFont="1" applyAlignment="1" applyProtection="1">
      <alignment horizontal="left"/>
      <protection hidden="1"/>
    </xf>
    <xf numFmtId="164" fontId="2" fillId="0" borderId="0" xfId="0" applyNumberFormat="1" applyFont="1" applyProtection="1">
      <protection hidden="1"/>
    </xf>
    <xf numFmtId="0" fontId="5" fillId="0" borderId="0" xfId="0" applyFont="1" applyAlignment="1" applyProtection="1">
      <alignment horizontal="center" textRotation="90"/>
      <protection hidden="1"/>
    </xf>
    <xf numFmtId="0" fontId="4" fillId="0" borderId="0" xfId="0" applyFont="1" applyProtection="1"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2" fillId="7" borderId="1" xfId="0" applyFont="1" applyFill="1" applyBorder="1" applyAlignment="1" applyProtection="1">
      <alignment horizontal="center" wrapText="1"/>
      <protection hidden="1"/>
    </xf>
    <xf numFmtId="0" fontId="7" fillId="0" borderId="1" xfId="0" applyFont="1" applyBorder="1" applyAlignment="1" applyProtection="1">
      <alignment horizontal="left"/>
      <protection hidden="1"/>
    </xf>
    <xf numFmtId="0" fontId="2" fillId="6" borderId="1" xfId="0" applyFont="1" applyFill="1" applyBorder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4" fillId="5" borderId="0" xfId="0" applyFont="1" applyFill="1" applyAlignment="1" applyProtection="1">
      <alignment horizontal="left"/>
      <protection hidden="1"/>
    </xf>
    <xf numFmtId="0" fontId="6" fillId="5" borderId="0" xfId="0" applyFont="1" applyFill="1" applyAlignment="1" applyProtection="1">
      <alignment horizontal="left"/>
      <protection hidden="1"/>
    </xf>
    <xf numFmtId="0" fontId="4" fillId="5" borderId="0" xfId="0" applyFont="1" applyFill="1" applyAlignment="1" applyProtection="1">
      <alignment horizontal="center"/>
      <protection hidden="1"/>
    </xf>
    <xf numFmtId="0" fontId="2" fillId="5" borderId="0" xfId="0" applyFont="1" applyFill="1" applyAlignment="1" applyProtection="1">
      <alignment horizontal="center"/>
      <protection hidden="1"/>
    </xf>
    <xf numFmtId="0" fontId="2" fillId="5" borderId="0" xfId="0" applyFont="1" applyFill="1" applyAlignment="1" applyProtection="1">
      <alignment horizontal="left"/>
      <protection hidden="1"/>
    </xf>
    <xf numFmtId="0" fontId="4" fillId="3" borderId="0" xfId="0" applyFont="1" applyFill="1" applyAlignment="1" applyProtection="1">
      <alignment horizontal="left"/>
      <protection hidden="1"/>
    </xf>
    <xf numFmtId="0" fontId="4" fillId="3" borderId="0" xfId="0" applyFont="1" applyFill="1" applyProtection="1"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left"/>
      <protection hidden="1"/>
    </xf>
    <xf numFmtId="0" fontId="2" fillId="6" borderId="1" xfId="0" applyFont="1" applyFill="1" applyBorder="1" applyAlignment="1" applyProtection="1">
      <alignment horizontal="right"/>
      <protection hidden="1"/>
    </xf>
    <xf numFmtId="0" fontId="4" fillId="4" borderId="0" xfId="0" applyFont="1" applyFill="1" applyAlignment="1" applyProtection="1">
      <alignment horizontal="left"/>
      <protection hidden="1"/>
    </xf>
    <xf numFmtId="0" fontId="6" fillId="4" borderId="0" xfId="0" applyFont="1" applyFill="1" applyAlignment="1" applyProtection="1">
      <alignment horizontal="left"/>
      <protection hidden="1"/>
    </xf>
    <xf numFmtId="0" fontId="4" fillId="4" borderId="0" xfId="0" applyFont="1" applyFill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0" fontId="0" fillId="9" borderId="1" xfId="0" applyFill="1" applyBorder="1" applyAlignment="1" applyProtection="1">
      <alignment horizontal="center"/>
      <protection hidden="1"/>
    </xf>
    <xf numFmtId="0" fontId="0" fillId="6" borderId="1" xfId="0" applyFill="1" applyBorder="1" applyProtection="1">
      <protection hidden="1"/>
    </xf>
    <xf numFmtId="0" fontId="7" fillId="0" borderId="1" xfId="0" applyFont="1" applyBorder="1" applyProtection="1">
      <protection hidden="1"/>
    </xf>
    <xf numFmtId="0" fontId="7" fillId="9" borderId="1" xfId="0" applyFont="1" applyFill="1" applyBorder="1" applyProtection="1">
      <protection hidden="1"/>
    </xf>
    <xf numFmtId="0" fontId="3" fillId="6" borderId="1" xfId="0" applyFont="1" applyFill="1" applyBorder="1" applyAlignment="1" applyProtection="1">
      <alignment horizontal="right"/>
      <protection hidden="1"/>
    </xf>
    <xf numFmtId="0" fontId="2" fillId="7" borderId="1" xfId="0" applyFont="1" applyFill="1" applyBorder="1" applyAlignment="1" applyProtection="1">
      <alignment horizontal="left"/>
      <protection hidden="1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textRotation="90"/>
    </xf>
    <xf numFmtId="0" fontId="2" fillId="7" borderId="1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left"/>
      <protection locked="0"/>
    </xf>
    <xf numFmtId="0" fontId="2" fillId="7" borderId="3" xfId="0" applyFont="1" applyFill="1" applyBorder="1" applyAlignment="1" applyProtection="1">
      <alignment horizontal="left"/>
      <protection locked="0"/>
    </xf>
    <xf numFmtId="0" fontId="2" fillId="7" borderId="4" xfId="0" applyFont="1" applyFill="1" applyBorder="1" applyAlignment="1" applyProtection="1">
      <alignment horizontal="left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6" borderId="7" xfId="0" applyFont="1" applyFill="1" applyBorder="1" applyAlignment="1">
      <alignment horizontal="right"/>
    </xf>
    <xf numFmtId="0" fontId="2" fillId="7" borderId="1" xfId="0" applyFont="1" applyFill="1" applyBorder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right"/>
    </xf>
    <xf numFmtId="0" fontId="3" fillId="8" borderId="1" xfId="0" applyFont="1" applyFill="1" applyBorder="1" applyAlignment="1" applyProtection="1">
      <alignment horizontal="left"/>
      <protection hidden="1"/>
    </xf>
    <xf numFmtId="0" fontId="3" fillId="8" borderId="1" xfId="0" applyFont="1" applyFill="1" applyBorder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7" borderId="1" xfId="0" applyFont="1" applyFill="1" applyBorder="1" applyAlignment="1" applyProtection="1">
      <alignment horizontal="left"/>
      <protection hidden="1"/>
    </xf>
    <xf numFmtId="0" fontId="3" fillId="6" borderId="5" xfId="0" applyFont="1" applyFill="1" applyBorder="1" applyAlignment="1" applyProtection="1">
      <alignment horizontal="right"/>
      <protection hidden="1"/>
    </xf>
    <xf numFmtId="0" fontId="3" fillId="6" borderId="6" xfId="0" applyFont="1" applyFill="1" applyBorder="1" applyAlignment="1" applyProtection="1">
      <alignment horizontal="right"/>
      <protection hidden="1"/>
    </xf>
    <xf numFmtId="0" fontId="3" fillId="6" borderId="7" xfId="0" applyFont="1" applyFill="1" applyBorder="1" applyAlignment="1" applyProtection="1">
      <alignment horizontal="right"/>
      <protection hidden="1"/>
    </xf>
    <xf numFmtId="0" fontId="3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hidden="1"/>
    </xf>
    <xf numFmtId="0" fontId="2" fillId="6" borderId="1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1" fontId="2" fillId="0" borderId="1" xfId="0" applyNumberFormat="1" applyFont="1" applyBorder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right"/>
      <protection hidden="1"/>
    </xf>
    <xf numFmtId="1" fontId="2" fillId="0" borderId="0" xfId="0" applyNumberFormat="1" applyFont="1" applyAlignment="1" applyProtection="1">
      <alignment horizontal="center" wrapText="1"/>
      <protection hidden="1"/>
    </xf>
    <xf numFmtId="1" fontId="2" fillId="0" borderId="0" xfId="0" applyNumberFormat="1" applyFont="1" applyAlignment="1" applyProtection="1">
      <alignment horizontal="left" wrapText="1"/>
      <protection hidden="1"/>
    </xf>
    <xf numFmtId="0" fontId="7" fillId="0" borderId="2" xfId="0" applyFont="1" applyBorder="1" applyProtection="1">
      <protection hidden="1"/>
    </xf>
    <xf numFmtId="0" fontId="7" fillId="0" borderId="3" xfId="0" applyFont="1" applyBorder="1" applyProtection="1">
      <protection hidden="1"/>
    </xf>
    <xf numFmtId="0" fontId="7" fillId="0" borderId="4" xfId="0" applyFont="1" applyBorder="1" applyProtection="1"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textRotation="90"/>
      <protection hidden="1"/>
    </xf>
    <xf numFmtId="0" fontId="2" fillId="7" borderId="1" xfId="0" applyFont="1" applyFill="1" applyBorder="1" applyAlignment="1" applyProtection="1">
      <alignment horizontal="center"/>
      <protection hidden="1"/>
    </xf>
    <xf numFmtId="0" fontId="2" fillId="7" borderId="2" xfId="0" applyFont="1" applyFill="1" applyBorder="1" applyAlignment="1" applyProtection="1">
      <alignment horizontal="left"/>
      <protection hidden="1"/>
    </xf>
    <xf numFmtId="0" fontId="2" fillId="7" borderId="3" xfId="0" applyFont="1" applyFill="1" applyBorder="1" applyAlignment="1" applyProtection="1">
      <alignment horizontal="left"/>
      <protection hidden="1"/>
    </xf>
    <xf numFmtId="0" fontId="2" fillId="7" borderId="4" xfId="0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</cellXfs>
  <cellStyles count="4">
    <cellStyle name="Moneda 2" xfId="1" xr:uid="{00000000-0005-0000-0000-000002000000}"/>
    <cellStyle name="Moneda 2 2" xfId="3" xr:uid="{EB9965A0-A44B-4727-A0EE-5733B215F8B3}"/>
    <cellStyle name="Normal" xfId="0" builtinId="0"/>
    <cellStyle name="Porcentual 2" xfId="2" xr:uid="{00000000-0005-0000-0000-000005000000}"/>
  </cellStyles>
  <dxfs count="637"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galcalde/Desktop/Mundial_2022_QATAR_AHG.xlsx" TargetMode="External"/><Relationship Id="rId1" Type="http://schemas.openxmlformats.org/officeDocument/2006/relationships/externalLinkPath" Target="/Users/galcalde/Desktop/Mundial_2022_QATAR_AH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XRS/Desktop/Mundial_2022_QATAR_xrs.xlsx" TargetMode="External"/><Relationship Id="rId1" Type="http://schemas.openxmlformats.org/officeDocument/2006/relationships/externalLinkPath" Target="/Users/XRS/Desktop/Mundial_2022_QATAR_x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FICIAL"/>
      <sheetName val="AHG"/>
    </sheetNames>
    <sheetDataSet>
      <sheetData sheetId="0">
        <row r="6">
          <cell r="I6" t="str">
            <v>Ecuador</v>
          </cell>
        </row>
        <row r="7">
          <cell r="I7" t="str">
            <v>Países Bajos</v>
          </cell>
        </row>
        <row r="8">
          <cell r="I8" t="str">
            <v>Senegal</v>
          </cell>
        </row>
        <row r="9">
          <cell r="I9" t="str">
            <v>Ecuador</v>
          </cell>
        </row>
        <row r="10">
          <cell r="I10" t="str">
            <v>Qatar</v>
          </cell>
        </row>
        <row r="11">
          <cell r="I11" t="str">
            <v>Senegal</v>
          </cell>
        </row>
        <row r="13">
          <cell r="I13" t="str">
            <v>Irán</v>
          </cell>
        </row>
        <row r="14">
          <cell r="I14" t="str">
            <v>Gales</v>
          </cell>
        </row>
        <row r="15">
          <cell r="I15" t="str">
            <v>Irán</v>
          </cell>
        </row>
        <row r="16">
          <cell r="I16" t="str">
            <v>USA</v>
          </cell>
        </row>
        <row r="17">
          <cell r="I17" t="str">
            <v>Inglaterra</v>
          </cell>
        </row>
        <row r="18">
          <cell r="I18" t="str">
            <v>USA</v>
          </cell>
        </row>
        <row r="20">
          <cell r="I20" t="str">
            <v>Arabia Saudí</v>
          </cell>
        </row>
        <row r="21">
          <cell r="I21" t="str">
            <v>Polonia</v>
          </cell>
        </row>
        <row r="22">
          <cell r="I22" t="str">
            <v>Arabia Saudí</v>
          </cell>
        </row>
        <row r="23">
          <cell r="I23" t="str">
            <v>México</v>
          </cell>
        </row>
        <row r="24">
          <cell r="I24" t="str">
            <v>México</v>
          </cell>
        </row>
        <row r="25">
          <cell r="I25" t="str">
            <v>Argentina</v>
          </cell>
        </row>
        <row r="27">
          <cell r="I27" t="str">
            <v>Túnez</v>
          </cell>
        </row>
        <row r="28">
          <cell r="I28" t="str">
            <v>Australia</v>
          </cell>
        </row>
        <row r="29">
          <cell r="I29" t="str">
            <v>Australia</v>
          </cell>
        </row>
        <row r="30">
          <cell r="I30" t="str">
            <v>Dinamarca</v>
          </cell>
        </row>
        <row r="31">
          <cell r="I31" t="str">
            <v>Francia</v>
          </cell>
        </row>
        <row r="32">
          <cell r="I32" t="str">
            <v>Dinamarca</v>
          </cell>
        </row>
        <row r="34">
          <cell r="I34" t="str">
            <v>Japón</v>
          </cell>
        </row>
        <row r="35">
          <cell r="I35" t="str">
            <v>Costa Rica</v>
          </cell>
        </row>
        <row r="36">
          <cell r="I36" t="str">
            <v>Costa Rica</v>
          </cell>
        </row>
        <row r="37">
          <cell r="I37" t="str">
            <v>Alemania</v>
          </cell>
        </row>
        <row r="38">
          <cell r="I38" t="str">
            <v>España</v>
          </cell>
        </row>
        <row r="39">
          <cell r="I39" t="str">
            <v>Alemania</v>
          </cell>
        </row>
        <row r="41">
          <cell r="I41" t="str">
            <v>Croacia</v>
          </cell>
        </row>
        <row r="42">
          <cell r="I42" t="str">
            <v>Canadá</v>
          </cell>
        </row>
        <row r="43">
          <cell r="I43" t="str">
            <v>Marruecos</v>
          </cell>
        </row>
        <row r="44">
          <cell r="I44" t="str">
            <v>Canadá</v>
          </cell>
        </row>
        <row r="45">
          <cell r="I45" t="str">
            <v>Bélgica</v>
          </cell>
        </row>
        <row r="46">
          <cell r="I46" t="str">
            <v>Marruecos</v>
          </cell>
        </row>
        <row r="48">
          <cell r="I48" t="str">
            <v>Camerún</v>
          </cell>
        </row>
        <row r="49">
          <cell r="I49" t="str">
            <v>Serbia</v>
          </cell>
        </row>
        <row r="50">
          <cell r="I50" t="str">
            <v>Serbia</v>
          </cell>
        </row>
        <row r="51">
          <cell r="I51" t="str">
            <v>Suiza</v>
          </cell>
        </row>
        <row r="52">
          <cell r="I52" t="str">
            <v>Suiza</v>
          </cell>
        </row>
        <row r="53">
          <cell r="I53" t="str">
            <v>Brasil</v>
          </cell>
        </row>
        <row r="55">
          <cell r="I55" t="str">
            <v>Corea del Sur</v>
          </cell>
        </row>
        <row r="56">
          <cell r="I56" t="str">
            <v>Ghana</v>
          </cell>
        </row>
        <row r="57">
          <cell r="I57" t="str">
            <v>Ghana</v>
          </cell>
        </row>
        <row r="58">
          <cell r="I58" t="str">
            <v>Uruguay</v>
          </cell>
        </row>
        <row r="59">
          <cell r="I59" t="str">
            <v>Portugal</v>
          </cell>
        </row>
        <row r="60">
          <cell r="I60" t="str">
            <v>Uruguay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FICIAL"/>
      <sheetName val="creuaments"/>
      <sheetName val="XXX"/>
      <sheetName val="SMJ"/>
      <sheetName val="AJD"/>
      <sheetName val="JCB"/>
      <sheetName val="AHG"/>
      <sheetName val="CSE"/>
      <sheetName val="ESS"/>
      <sheetName val="FCJ"/>
      <sheetName val="SFA"/>
      <sheetName val="DSA"/>
      <sheetName val="JVG"/>
      <sheetName val="JPP"/>
    </sheetNames>
    <sheetDataSet>
      <sheetData sheetId="0">
        <row r="6">
          <cell r="I6" t="str">
            <v>Ecuador</v>
          </cell>
        </row>
        <row r="7">
          <cell r="I7" t="str">
            <v>Países Bajos</v>
          </cell>
        </row>
        <row r="8">
          <cell r="I8" t="str">
            <v>Senegal</v>
          </cell>
        </row>
        <row r="9">
          <cell r="I9" t="str">
            <v>Ecuador</v>
          </cell>
        </row>
        <row r="10">
          <cell r="I10" t="str">
            <v>Qatar</v>
          </cell>
        </row>
        <row r="11">
          <cell r="I11" t="str">
            <v>Senegal</v>
          </cell>
        </row>
        <row r="13">
          <cell r="I13" t="str">
            <v>Irán</v>
          </cell>
        </row>
        <row r="14">
          <cell r="I14" t="str">
            <v>Gales</v>
          </cell>
        </row>
        <row r="15">
          <cell r="I15" t="str">
            <v>Irán</v>
          </cell>
        </row>
        <row r="16">
          <cell r="I16" t="str">
            <v>USA</v>
          </cell>
        </row>
        <row r="17">
          <cell r="I17" t="str">
            <v>Inglaterra</v>
          </cell>
        </row>
        <row r="18">
          <cell r="I18" t="str">
            <v>USA</v>
          </cell>
        </row>
        <row r="20">
          <cell r="I20" t="str">
            <v>Arabia Saudí</v>
          </cell>
        </row>
        <row r="21">
          <cell r="I21" t="str">
            <v>Polonia</v>
          </cell>
        </row>
        <row r="22">
          <cell r="I22" t="str">
            <v>Arabia Saudí</v>
          </cell>
        </row>
        <row r="23">
          <cell r="I23" t="str">
            <v>México</v>
          </cell>
        </row>
        <row r="24">
          <cell r="I24" t="str">
            <v>México</v>
          </cell>
        </row>
        <row r="25">
          <cell r="I25" t="str">
            <v>Argentina</v>
          </cell>
        </row>
        <row r="27">
          <cell r="I27" t="str">
            <v>Túnez</v>
          </cell>
        </row>
        <row r="28">
          <cell r="I28" t="str">
            <v>Australia</v>
          </cell>
        </row>
        <row r="29">
          <cell r="I29" t="str">
            <v>Australia</v>
          </cell>
        </row>
        <row r="30">
          <cell r="I30" t="str">
            <v>Dinamarca</v>
          </cell>
        </row>
        <row r="31">
          <cell r="I31" t="str">
            <v>Francia</v>
          </cell>
        </row>
        <row r="32">
          <cell r="I32" t="str">
            <v>Dinamarca</v>
          </cell>
        </row>
        <row r="34">
          <cell r="I34" t="str">
            <v>Japón</v>
          </cell>
        </row>
        <row r="35">
          <cell r="I35" t="str">
            <v>Costa Rica</v>
          </cell>
        </row>
        <row r="36">
          <cell r="I36" t="str">
            <v>Costa Rica</v>
          </cell>
        </row>
        <row r="37">
          <cell r="I37" t="str">
            <v>Alemania</v>
          </cell>
        </row>
        <row r="38">
          <cell r="I38" t="str">
            <v>España</v>
          </cell>
        </row>
        <row r="39">
          <cell r="I39" t="str">
            <v>Alemania</v>
          </cell>
        </row>
        <row r="41">
          <cell r="I41" t="str">
            <v>Croacia</v>
          </cell>
        </row>
        <row r="42">
          <cell r="I42" t="str">
            <v>Canadá</v>
          </cell>
        </row>
        <row r="43">
          <cell r="I43" t="str">
            <v>Marruecos</v>
          </cell>
        </row>
        <row r="44">
          <cell r="I44" t="str">
            <v>Canadá</v>
          </cell>
        </row>
        <row r="45">
          <cell r="I45" t="str">
            <v>Bélgica</v>
          </cell>
        </row>
        <row r="46">
          <cell r="I46" t="str">
            <v>Marruecos</v>
          </cell>
        </row>
        <row r="48">
          <cell r="I48" t="str">
            <v>Camerún</v>
          </cell>
        </row>
        <row r="49">
          <cell r="I49" t="str">
            <v>Serbia</v>
          </cell>
        </row>
        <row r="50">
          <cell r="I50" t="str">
            <v>Serbia</v>
          </cell>
        </row>
        <row r="51">
          <cell r="I51" t="str">
            <v>Suiza</v>
          </cell>
        </row>
        <row r="52">
          <cell r="I52" t="str">
            <v>Suiza</v>
          </cell>
        </row>
        <row r="53">
          <cell r="I53" t="str">
            <v>Brasil</v>
          </cell>
        </row>
        <row r="55">
          <cell r="I55" t="str">
            <v>Corea del Sur</v>
          </cell>
        </row>
        <row r="56">
          <cell r="I56" t="str">
            <v>Ghana</v>
          </cell>
        </row>
        <row r="57">
          <cell r="I57" t="str">
            <v>Ghana</v>
          </cell>
        </row>
        <row r="58">
          <cell r="I58" t="str">
            <v>Uruguay</v>
          </cell>
        </row>
        <row r="59">
          <cell r="I59" t="str">
            <v>Portugal</v>
          </cell>
        </row>
        <row r="60">
          <cell r="I60" t="str">
            <v>Uruguay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workbookViewId="0">
      <selection activeCell="H6" sqref="H6"/>
    </sheetView>
  </sheetViews>
  <sheetFormatPr baseColWidth="10" defaultColWidth="11.28515625" defaultRowHeight="12.75" customHeight="1" x14ac:dyDescent="0.2"/>
  <cols>
    <col min="1" max="1" width="7.42578125" style="7" bestFit="1" customWidth="1"/>
    <col min="2" max="2" width="16" style="7" customWidth="1"/>
    <col min="3" max="3" width="4.7109375" style="1" customWidth="1"/>
    <col min="4" max="6" width="4.7109375" style="6" customWidth="1"/>
    <col min="7" max="8" width="5" style="7" customWidth="1"/>
    <col min="9" max="9" width="15.28515625" style="5" customWidth="1"/>
    <col min="10" max="10" width="3.28515625" style="7" customWidth="1"/>
    <col min="11" max="11" width="3.42578125" style="7" customWidth="1"/>
    <col min="12" max="12" width="1.7109375" style="7" customWidth="1"/>
    <col min="13" max="16" width="5.42578125" style="1" customWidth="1"/>
    <col min="17" max="16384" width="11.28515625" style="1"/>
  </cols>
  <sheetData>
    <row r="1" spans="1:12" ht="12.75" customHeight="1" x14ac:dyDescent="0.2">
      <c r="B1" s="5" t="s">
        <v>95</v>
      </c>
    </row>
    <row r="3" spans="1:12" ht="12.75" customHeight="1" x14ac:dyDescent="0.2">
      <c r="A3" s="8" t="s">
        <v>1</v>
      </c>
      <c r="B3" s="8" t="s">
        <v>78</v>
      </c>
      <c r="C3" s="2"/>
      <c r="D3" s="4"/>
      <c r="E3" s="4"/>
      <c r="F3" s="4"/>
      <c r="G3" s="98" t="s">
        <v>2</v>
      </c>
      <c r="H3" s="98"/>
      <c r="I3" s="3"/>
      <c r="J3" s="8"/>
      <c r="K3" s="8"/>
      <c r="L3" s="8"/>
    </row>
    <row r="4" spans="1:12" ht="12.75" customHeight="1" x14ac:dyDescent="0.2">
      <c r="A4" s="8"/>
      <c r="B4" s="8"/>
      <c r="C4" s="2"/>
      <c r="D4" s="4"/>
      <c r="E4" s="4"/>
      <c r="F4" s="4"/>
      <c r="G4" s="98"/>
      <c r="H4" s="98"/>
      <c r="I4" s="3"/>
      <c r="J4" s="8"/>
      <c r="K4" s="8"/>
      <c r="L4" s="8"/>
    </row>
    <row r="5" spans="1:12" ht="12.75" customHeight="1" x14ac:dyDescent="0.2">
      <c r="A5" s="1" t="s">
        <v>0</v>
      </c>
      <c r="B5" s="1"/>
      <c r="G5" s="1"/>
      <c r="H5" s="1"/>
      <c r="I5" s="1"/>
      <c r="J5" s="1"/>
      <c r="K5" s="1"/>
      <c r="L5" s="1"/>
    </row>
    <row r="6" spans="1:12" ht="12.75" customHeight="1" x14ac:dyDescent="0.2">
      <c r="A6" s="8">
        <v>1</v>
      </c>
      <c r="B6" s="38">
        <v>44885</v>
      </c>
      <c r="C6" s="2"/>
      <c r="D6" s="94" t="s">
        <v>81</v>
      </c>
      <c r="E6" s="95"/>
      <c r="F6" s="96"/>
      <c r="G6" s="9">
        <v>0</v>
      </c>
      <c r="H6" s="9">
        <v>2</v>
      </c>
      <c r="I6" s="39" t="s">
        <v>76</v>
      </c>
      <c r="J6" s="8"/>
      <c r="K6" s="8"/>
      <c r="L6" s="8"/>
    </row>
    <row r="7" spans="1:12" ht="12.75" customHeight="1" x14ac:dyDescent="0.2">
      <c r="A7" s="8">
        <v>3</v>
      </c>
      <c r="B7" s="38">
        <v>44886</v>
      </c>
      <c r="C7" s="2"/>
      <c r="D7" s="94" t="s">
        <v>82</v>
      </c>
      <c r="E7" s="95"/>
      <c r="F7" s="96"/>
      <c r="G7" s="9"/>
      <c r="H7" s="9"/>
      <c r="I7" s="39" t="s">
        <v>83</v>
      </c>
      <c r="J7" s="8"/>
      <c r="K7" s="8"/>
      <c r="L7" s="8"/>
    </row>
    <row r="8" spans="1:12" ht="12.75" customHeight="1" x14ac:dyDescent="0.2">
      <c r="A8" s="8">
        <v>18</v>
      </c>
      <c r="B8" s="38">
        <v>44890</v>
      </c>
      <c r="C8" s="2"/>
      <c r="D8" s="94" t="s">
        <v>81</v>
      </c>
      <c r="E8" s="95"/>
      <c r="F8" s="96"/>
      <c r="G8" s="9"/>
      <c r="H8" s="9"/>
      <c r="I8" s="39" t="s">
        <v>82</v>
      </c>
      <c r="J8" s="8"/>
      <c r="K8" s="8"/>
      <c r="L8" s="8"/>
    </row>
    <row r="9" spans="1:12" ht="12.75" customHeight="1" x14ac:dyDescent="0.2">
      <c r="A9" s="8">
        <v>19</v>
      </c>
      <c r="B9" s="38">
        <v>44890</v>
      </c>
      <c r="C9" s="2"/>
      <c r="D9" s="94" t="s">
        <v>83</v>
      </c>
      <c r="E9" s="95"/>
      <c r="F9" s="96"/>
      <c r="G9" s="9"/>
      <c r="H9" s="9"/>
      <c r="I9" s="39" t="s">
        <v>76</v>
      </c>
      <c r="J9" s="8"/>
      <c r="K9" s="8"/>
      <c r="L9" s="8"/>
    </row>
    <row r="10" spans="1:12" ht="12.75" customHeight="1" x14ac:dyDescent="0.2">
      <c r="A10" s="8">
        <v>33</v>
      </c>
      <c r="B10" s="38">
        <v>44894</v>
      </c>
      <c r="C10" s="2"/>
      <c r="D10" s="94" t="s">
        <v>83</v>
      </c>
      <c r="E10" s="95"/>
      <c r="F10" s="96"/>
      <c r="G10" s="9"/>
      <c r="H10" s="9"/>
      <c r="I10" s="39" t="s">
        <v>81</v>
      </c>
      <c r="J10" s="8"/>
      <c r="K10" s="8"/>
      <c r="L10" s="8"/>
    </row>
    <row r="11" spans="1:12" ht="12.75" customHeight="1" x14ac:dyDescent="0.2">
      <c r="A11" s="8">
        <v>34</v>
      </c>
      <c r="B11" s="38">
        <v>44894</v>
      </c>
      <c r="C11" s="2"/>
      <c r="D11" s="94" t="s">
        <v>76</v>
      </c>
      <c r="E11" s="95"/>
      <c r="F11" s="96"/>
      <c r="G11" s="9"/>
      <c r="H11" s="9"/>
      <c r="I11" s="39" t="s">
        <v>82</v>
      </c>
      <c r="J11" s="8"/>
      <c r="K11" s="8"/>
      <c r="L11" s="8"/>
    </row>
    <row r="12" spans="1:12" ht="12.75" customHeight="1" x14ac:dyDescent="0.2">
      <c r="A12" s="1" t="s">
        <v>6</v>
      </c>
      <c r="B12" s="1"/>
      <c r="D12" s="97"/>
      <c r="E12" s="97"/>
      <c r="F12" s="97"/>
      <c r="G12" s="1"/>
      <c r="H12" s="1"/>
      <c r="J12" s="1"/>
      <c r="K12" s="1"/>
      <c r="L12" s="1"/>
    </row>
    <row r="13" spans="1:12" ht="12.75" customHeight="1" x14ac:dyDescent="0.2">
      <c r="A13" s="8">
        <v>2</v>
      </c>
      <c r="B13" s="38">
        <v>44886</v>
      </c>
      <c r="C13" s="2"/>
      <c r="D13" s="94" t="s">
        <v>9</v>
      </c>
      <c r="E13" s="95"/>
      <c r="F13" s="96"/>
      <c r="G13" s="9"/>
      <c r="H13" s="9"/>
      <c r="I13" s="39" t="s">
        <v>84</v>
      </c>
      <c r="J13" s="8"/>
      <c r="K13" s="8"/>
      <c r="L13" s="8"/>
    </row>
    <row r="14" spans="1:12" ht="12.75" customHeight="1" x14ac:dyDescent="0.2">
      <c r="A14" s="8">
        <v>4</v>
      </c>
      <c r="B14" s="38">
        <v>44886</v>
      </c>
      <c r="C14" s="2"/>
      <c r="D14" s="94" t="s">
        <v>24</v>
      </c>
      <c r="E14" s="95"/>
      <c r="F14" s="96"/>
      <c r="G14" s="9"/>
      <c r="H14" s="9"/>
      <c r="I14" s="39" t="s">
        <v>85</v>
      </c>
      <c r="J14" s="8"/>
      <c r="K14" s="8"/>
      <c r="L14" s="8"/>
    </row>
    <row r="15" spans="1:12" ht="12.75" customHeight="1" x14ac:dyDescent="0.2">
      <c r="A15" s="8">
        <v>17</v>
      </c>
      <c r="B15" s="38">
        <v>44890</v>
      </c>
      <c r="C15" s="2"/>
      <c r="D15" s="94" t="s">
        <v>93</v>
      </c>
      <c r="E15" s="95"/>
      <c r="F15" s="96"/>
      <c r="G15" s="9"/>
      <c r="H15" s="9"/>
      <c r="I15" s="39" t="s">
        <v>84</v>
      </c>
      <c r="J15" s="8"/>
      <c r="K15" s="8"/>
      <c r="L15" s="8"/>
    </row>
    <row r="16" spans="1:12" ht="12.75" customHeight="1" x14ac:dyDescent="0.2">
      <c r="A16" s="8">
        <v>20</v>
      </c>
      <c r="B16" s="38">
        <v>44890</v>
      </c>
      <c r="C16" s="2"/>
      <c r="D16" s="94" t="s">
        <v>9</v>
      </c>
      <c r="E16" s="95"/>
      <c r="F16" s="96"/>
      <c r="G16" s="9"/>
      <c r="H16" s="9"/>
      <c r="I16" s="39" t="s">
        <v>24</v>
      </c>
      <c r="J16" s="8"/>
      <c r="K16" s="8"/>
      <c r="L16" s="8"/>
    </row>
    <row r="17" spans="1:12" ht="12.75" customHeight="1" x14ac:dyDescent="0.2">
      <c r="A17" s="8">
        <v>35</v>
      </c>
      <c r="B17" s="38">
        <v>44894</v>
      </c>
      <c r="C17" s="2"/>
      <c r="D17" s="94" t="s">
        <v>93</v>
      </c>
      <c r="E17" s="95"/>
      <c r="F17" s="96"/>
      <c r="G17" s="9"/>
      <c r="H17" s="9"/>
      <c r="I17" s="39" t="s">
        <v>9</v>
      </c>
      <c r="J17" s="8"/>
      <c r="K17" s="8"/>
      <c r="L17" s="8"/>
    </row>
    <row r="18" spans="1:12" ht="12.75" customHeight="1" x14ac:dyDescent="0.2">
      <c r="A18" s="8">
        <v>36</v>
      </c>
      <c r="B18" s="38">
        <v>44894</v>
      </c>
      <c r="C18" s="2"/>
      <c r="D18" s="94" t="s">
        <v>84</v>
      </c>
      <c r="E18" s="95"/>
      <c r="F18" s="96"/>
      <c r="G18" s="9"/>
      <c r="H18" s="9"/>
      <c r="I18" s="39" t="s">
        <v>24</v>
      </c>
      <c r="J18" s="8"/>
      <c r="K18" s="8"/>
      <c r="L18" s="8"/>
    </row>
    <row r="19" spans="1:12" ht="12.75" customHeight="1" x14ac:dyDescent="0.2">
      <c r="A19" s="1" t="s">
        <v>8</v>
      </c>
      <c r="B19" s="1"/>
      <c r="D19" s="97"/>
      <c r="E19" s="97"/>
      <c r="F19" s="97"/>
      <c r="G19" s="1"/>
      <c r="H19" s="1"/>
      <c r="J19" s="1"/>
      <c r="K19" s="1"/>
      <c r="L19" s="1"/>
    </row>
    <row r="20" spans="1:12" ht="12.75" customHeight="1" x14ac:dyDescent="0.2">
      <c r="A20" s="8">
        <v>5</v>
      </c>
      <c r="B20" s="38">
        <v>44887</v>
      </c>
      <c r="C20" s="2"/>
      <c r="D20" s="94" t="s">
        <v>7</v>
      </c>
      <c r="E20" s="95"/>
      <c r="F20" s="96"/>
      <c r="G20" s="9"/>
      <c r="H20" s="9"/>
      <c r="I20" s="39" t="s">
        <v>86</v>
      </c>
      <c r="J20" s="8"/>
      <c r="K20" s="8"/>
      <c r="L20" s="8"/>
    </row>
    <row r="21" spans="1:12" ht="12.75" customHeight="1" x14ac:dyDescent="0.2">
      <c r="A21" s="8">
        <v>7</v>
      </c>
      <c r="B21" s="38">
        <v>44887</v>
      </c>
      <c r="C21" s="2"/>
      <c r="D21" s="94" t="s">
        <v>3</v>
      </c>
      <c r="E21" s="95"/>
      <c r="F21" s="96"/>
      <c r="G21" s="9"/>
      <c r="H21" s="9"/>
      <c r="I21" s="39" t="s">
        <v>87</v>
      </c>
      <c r="J21" s="8"/>
      <c r="K21" s="8"/>
      <c r="L21" s="8"/>
    </row>
    <row r="22" spans="1:12" ht="12.75" customHeight="1" x14ac:dyDescent="0.2">
      <c r="A22" s="8">
        <v>22</v>
      </c>
      <c r="B22" s="38">
        <v>44891</v>
      </c>
      <c r="C22" s="2"/>
      <c r="D22" s="94" t="s">
        <v>87</v>
      </c>
      <c r="E22" s="95"/>
      <c r="F22" s="96"/>
      <c r="G22" s="9"/>
      <c r="H22" s="9"/>
      <c r="I22" s="39" t="s">
        <v>86</v>
      </c>
      <c r="J22" s="8"/>
      <c r="K22" s="8"/>
      <c r="L22" s="8"/>
    </row>
    <row r="23" spans="1:12" ht="12.75" customHeight="1" x14ac:dyDescent="0.2">
      <c r="A23" s="8">
        <v>24</v>
      </c>
      <c r="B23" s="38">
        <v>44891</v>
      </c>
      <c r="C23" s="2"/>
      <c r="D23" s="94" t="s">
        <v>7</v>
      </c>
      <c r="E23" s="95"/>
      <c r="F23" s="96"/>
      <c r="G23" s="9"/>
      <c r="H23" s="9"/>
      <c r="I23" s="39" t="s">
        <v>3</v>
      </c>
      <c r="J23" s="8"/>
      <c r="K23" s="8"/>
      <c r="L23" s="8"/>
    </row>
    <row r="24" spans="1:12" ht="12.75" customHeight="1" x14ac:dyDescent="0.2">
      <c r="A24" s="8">
        <v>39</v>
      </c>
      <c r="B24" s="38">
        <v>44895</v>
      </c>
      <c r="C24" s="2"/>
      <c r="D24" s="94" t="s">
        <v>86</v>
      </c>
      <c r="E24" s="95"/>
      <c r="F24" s="96"/>
      <c r="G24" s="9"/>
      <c r="H24" s="9"/>
      <c r="I24" s="39" t="s">
        <v>3</v>
      </c>
      <c r="J24" s="8"/>
      <c r="K24" s="8"/>
      <c r="L24" s="8"/>
    </row>
    <row r="25" spans="1:12" ht="12.75" customHeight="1" x14ac:dyDescent="0.2">
      <c r="A25" s="8">
        <v>40</v>
      </c>
      <c r="B25" s="38">
        <v>44895</v>
      </c>
      <c r="C25" s="2"/>
      <c r="D25" s="94" t="s">
        <v>87</v>
      </c>
      <c r="E25" s="95"/>
      <c r="F25" s="96"/>
      <c r="G25" s="9"/>
      <c r="H25" s="9"/>
      <c r="I25" s="39" t="s">
        <v>7</v>
      </c>
      <c r="J25" s="8"/>
      <c r="K25" s="8"/>
      <c r="L25" s="8"/>
    </row>
    <row r="26" spans="1:12" ht="12.75" customHeight="1" x14ac:dyDescent="0.2">
      <c r="A26" s="1" t="s">
        <v>10</v>
      </c>
      <c r="B26" s="1"/>
      <c r="D26" s="97"/>
      <c r="E26" s="97"/>
      <c r="F26" s="97"/>
      <c r="G26" s="1"/>
      <c r="H26" s="1"/>
      <c r="J26" s="1"/>
      <c r="K26" s="1"/>
      <c r="L26" s="1"/>
    </row>
    <row r="27" spans="1:12" ht="12.75" customHeight="1" x14ac:dyDescent="0.2">
      <c r="A27" s="8">
        <v>6</v>
      </c>
      <c r="B27" s="38">
        <v>44887</v>
      </c>
      <c r="C27" s="2"/>
      <c r="D27" s="94" t="s">
        <v>79</v>
      </c>
      <c r="E27" s="95"/>
      <c r="F27" s="96"/>
      <c r="G27" s="9"/>
      <c r="H27" s="9"/>
      <c r="I27" s="39" t="s">
        <v>88</v>
      </c>
      <c r="J27" s="8"/>
      <c r="K27" s="8"/>
      <c r="L27" s="8"/>
    </row>
    <row r="28" spans="1:12" ht="12.75" customHeight="1" x14ac:dyDescent="0.2">
      <c r="A28" s="8">
        <v>8</v>
      </c>
      <c r="B28" s="38">
        <v>44887</v>
      </c>
      <c r="C28" s="2"/>
      <c r="D28" s="94" t="s">
        <v>5</v>
      </c>
      <c r="E28" s="95"/>
      <c r="F28" s="96"/>
      <c r="G28" s="9"/>
      <c r="H28" s="9"/>
      <c r="I28" s="39" t="s">
        <v>12</v>
      </c>
      <c r="J28" s="8"/>
      <c r="K28" s="8"/>
      <c r="L28" s="8"/>
    </row>
    <row r="29" spans="1:12" ht="12.75" customHeight="1" x14ac:dyDescent="0.2">
      <c r="A29" s="8">
        <v>21</v>
      </c>
      <c r="B29" s="38">
        <v>44891</v>
      </c>
      <c r="C29" s="2"/>
      <c r="D29" s="94" t="s">
        <v>88</v>
      </c>
      <c r="E29" s="95"/>
      <c r="F29" s="96"/>
      <c r="G29" s="9"/>
      <c r="H29" s="9"/>
      <c r="I29" s="39" t="s">
        <v>12</v>
      </c>
      <c r="J29" s="8"/>
      <c r="K29" s="8"/>
      <c r="L29" s="8"/>
    </row>
    <row r="30" spans="1:12" ht="12.75" customHeight="1" x14ac:dyDescent="0.2">
      <c r="A30" s="8">
        <v>23</v>
      </c>
      <c r="B30" s="38">
        <v>44891</v>
      </c>
      <c r="C30" s="2"/>
      <c r="D30" s="94" t="s">
        <v>5</v>
      </c>
      <c r="E30" s="95"/>
      <c r="F30" s="96"/>
      <c r="G30" s="9"/>
      <c r="H30" s="9"/>
      <c r="I30" s="39" t="s">
        <v>79</v>
      </c>
      <c r="J30" s="8"/>
      <c r="K30" s="8"/>
      <c r="L30" s="8"/>
    </row>
    <row r="31" spans="1:12" ht="12.75" customHeight="1" x14ac:dyDescent="0.2">
      <c r="A31" s="8">
        <v>37</v>
      </c>
      <c r="B31" s="38">
        <v>44895</v>
      </c>
      <c r="C31" s="2"/>
      <c r="D31" s="94" t="s">
        <v>88</v>
      </c>
      <c r="E31" s="95"/>
      <c r="F31" s="96"/>
      <c r="G31" s="9"/>
      <c r="H31" s="9"/>
      <c r="I31" s="39" t="s">
        <v>5</v>
      </c>
      <c r="J31" s="8"/>
      <c r="K31" s="8"/>
      <c r="L31" s="8"/>
    </row>
    <row r="32" spans="1:12" ht="12.75" customHeight="1" x14ac:dyDescent="0.2">
      <c r="A32" s="8">
        <v>38</v>
      </c>
      <c r="B32" s="38">
        <v>44895</v>
      </c>
      <c r="C32" s="2"/>
      <c r="D32" s="94" t="s">
        <v>12</v>
      </c>
      <c r="E32" s="95"/>
      <c r="F32" s="96"/>
      <c r="G32" s="9"/>
      <c r="H32" s="9"/>
      <c r="I32" s="39" t="s">
        <v>79</v>
      </c>
      <c r="J32" s="8"/>
      <c r="K32" s="8"/>
      <c r="L32" s="8"/>
    </row>
    <row r="33" spans="1:12" ht="12.75" customHeight="1" x14ac:dyDescent="0.2">
      <c r="A33" s="1" t="s">
        <v>14</v>
      </c>
      <c r="B33" s="38"/>
      <c r="D33" s="97"/>
      <c r="E33" s="97"/>
      <c r="F33" s="97"/>
      <c r="G33" s="1"/>
      <c r="H33" s="1"/>
      <c r="J33" s="1"/>
      <c r="K33" s="1"/>
      <c r="L33" s="1"/>
    </row>
    <row r="34" spans="1:12" ht="12.75" customHeight="1" x14ac:dyDescent="0.2">
      <c r="A34" s="8">
        <v>10</v>
      </c>
      <c r="B34" s="38">
        <v>44888</v>
      </c>
      <c r="C34" s="2"/>
      <c r="D34" s="94" t="s">
        <v>11</v>
      </c>
      <c r="E34" s="95"/>
      <c r="F34" s="96"/>
      <c r="G34" s="9"/>
      <c r="H34" s="9"/>
      <c r="I34" s="39" t="s">
        <v>15</v>
      </c>
      <c r="J34" s="8"/>
      <c r="K34" s="8"/>
      <c r="L34" s="8"/>
    </row>
    <row r="35" spans="1:12" ht="12.75" customHeight="1" x14ac:dyDescent="0.2">
      <c r="A35" s="8">
        <v>11</v>
      </c>
      <c r="B35" s="38">
        <v>44888</v>
      </c>
      <c r="C35" s="2"/>
      <c r="D35" s="94" t="s">
        <v>22</v>
      </c>
      <c r="E35" s="95"/>
      <c r="F35" s="96"/>
      <c r="G35" s="9"/>
      <c r="H35" s="9"/>
      <c r="I35" s="39" t="s">
        <v>75</v>
      </c>
      <c r="J35" s="8"/>
      <c r="K35" s="8"/>
      <c r="L35" s="8"/>
    </row>
    <row r="36" spans="1:12" ht="12.75" customHeight="1" x14ac:dyDescent="0.2">
      <c r="A36" s="8">
        <v>25</v>
      </c>
      <c r="B36" s="38">
        <v>44892</v>
      </c>
      <c r="C36" s="2"/>
      <c r="D36" s="94" t="s">
        <v>15</v>
      </c>
      <c r="E36" s="95"/>
      <c r="F36" s="96"/>
      <c r="G36" s="9"/>
      <c r="H36" s="9"/>
      <c r="I36" s="39" t="s">
        <v>75</v>
      </c>
      <c r="J36" s="8"/>
      <c r="K36" s="8"/>
      <c r="L36" s="8"/>
    </row>
    <row r="37" spans="1:12" ht="12.75" customHeight="1" x14ac:dyDescent="0.2">
      <c r="A37" s="8">
        <v>28</v>
      </c>
      <c r="B37" s="38">
        <v>44892</v>
      </c>
      <c r="C37" s="2"/>
      <c r="D37" s="94" t="s">
        <v>22</v>
      </c>
      <c r="E37" s="95"/>
      <c r="F37" s="96"/>
      <c r="G37" s="9"/>
      <c r="H37" s="9"/>
      <c r="I37" s="39" t="s">
        <v>11</v>
      </c>
      <c r="J37" s="8"/>
      <c r="K37" s="8"/>
      <c r="L37" s="8"/>
    </row>
    <row r="38" spans="1:12" ht="12.75" customHeight="1" x14ac:dyDescent="0.2">
      <c r="A38" s="8">
        <v>43</v>
      </c>
      <c r="B38" s="38">
        <v>44896</v>
      </c>
      <c r="C38" s="2"/>
      <c r="D38" s="94" t="s">
        <v>15</v>
      </c>
      <c r="E38" s="95"/>
      <c r="F38" s="96"/>
      <c r="G38" s="9"/>
      <c r="H38" s="9"/>
      <c r="I38" s="39" t="s">
        <v>22</v>
      </c>
      <c r="J38" s="8"/>
      <c r="K38" s="8"/>
      <c r="L38" s="8"/>
    </row>
    <row r="39" spans="1:12" ht="12.75" customHeight="1" x14ac:dyDescent="0.2">
      <c r="A39" s="8">
        <v>44</v>
      </c>
      <c r="B39" s="38">
        <v>44896</v>
      </c>
      <c r="C39" s="2"/>
      <c r="D39" s="94" t="s">
        <v>75</v>
      </c>
      <c r="E39" s="95"/>
      <c r="F39" s="96"/>
      <c r="G39" s="9"/>
      <c r="H39" s="9"/>
      <c r="I39" s="39" t="s">
        <v>11</v>
      </c>
      <c r="J39" s="8"/>
      <c r="K39" s="8"/>
      <c r="L39" s="8"/>
    </row>
    <row r="40" spans="1:12" ht="12.75" customHeight="1" x14ac:dyDescent="0.2">
      <c r="A40" s="1" t="s">
        <v>17</v>
      </c>
      <c r="B40" s="38"/>
      <c r="D40" s="97"/>
      <c r="E40" s="97"/>
      <c r="F40" s="97"/>
      <c r="G40" s="1"/>
      <c r="H40" s="1"/>
      <c r="J40" s="1"/>
      <c r="K40" s="1"/>
      <c r="L40" s="1"/>
    </row>
    <row r="41" spans="1:12" ht="12.75" customHeight="1" x14ac:dyDescent="0.2">
      <c r="A41" s="8">
        <v>9</v>
      </c>
      <c r="B41" s="38">
        <v>44888</v>
      </c>
      <c r="C41" s="2"/>
      <c r="D41" s="94" t="s">
        <v>90</v>
      </c>
      <c r="E41" s="95"/>
      <c r="F41" s="96"/>
      <c r="G41" s="9"/>
      <c r="H41" s="9"/>
      <c r="I41" s="39" t="s">
        <v>74</v>
      </c>
      <c r="J41" s="8"/>
      <c r="K41" s="8"/>
      <c r="L41" s="8"/>
    </row>
    <row r="42" spans="1:12" ht="12.75" customHeight="1" x14ac:dyDescent="0.2">
      <c r="A42" s="8">
        <v>12</v>
      </c>
      <c r="B42" s="38">
        <v>44888</v>
      </c>
      <c r="C42" s="2"/>
      <c r="D42" s="94" t="s">
        <v>77</v>
      </c>
      <c r="E42" s="95"/>
      <c r="F42" s="96"/>
      <c r="G42" s="9"/>
      <c r="H42" s="9"/>
      <c r="I42" s="39" t="s">
        <v>89</v>
      </c>
      <c r="J42" s="8"/>
      <c r="K42" s="8"/>
      <c r="L42" s="8"/>
    </row>
    <row r="43" spans="1:12" ht="12.75" customHeight="1" x14ac:dyDescent="0.2">
      <c r="A43" s="8">
        <v>26</v>
      </c>
      <c r="B43" s="38">
        <v>44892</v>
      </c>
      <c r="C43" s="2"/>
      <c r="D43" s="94" t="s">
        <v>77</v>
      </c>
      <c r="E43" s="95"/>
      <c r="F43" s="96"/>
      <c r="G43" s="9"/>
      <c r="H43" s="9"/>
      <c r="I43" s="39" t="s">
        <v>90</v>
      </c>
      <c r="J43" s="8"/>
      <c r="K43" s="8"/>
      <c r="L43" s="8"/>
    </row>
    <row r="44" spans="1:12" ht="12.75" customHeight="1" x14ac:dyDescent="0.2">
      <c r="A44" s="8">
        <v>27</v>
      </c>
      <c r="B44" s="38">
        <v>44892</v>
      </c>
      <c r="C44" s="2"/>
      <c r="D44" s="94" t="s">
        <v>74</v>
      </c>
      <c r="E44" s="95"/>
      <c r="F44" s="96"/>
      <c r="G44" s="9"/>
      <c r="H44" s="9"/>
      <c r="I44" s="39" t="s">
        <v>89</v>
      </c>
      <c r="J44" s="8"/>
      <c r="K44" s="8"/>
      <c r="L44" s="8"/>
    </row>
    <row r="45" spans="1:12" ht="12.75" customHeight="1" x14ac:dyDescent="0.2">
      <c r="A45" s="8">
        <v>41</v>
      </c>
      <c r="B45" s="38">
        <v>44896</v>
      </c>
      <c r="C45" s="2"/>
      <c r="D45" s="94" t="s">
        <v>74</v>
      </c>
      <c r="E45" s="95"/>
      <c r="F45" s="96"/>
      <c r="G45" s="9"/>
      <c r="H45" s="9"/>
      <c r="I45" s="39" t="s">
        <v>77</v>
      </c>
      <c r="J45" s="8"/>
      <c r="K45" s="8"/>
      <c r="L45" s="8"/>
    </row>
    <row r="46" spans="1:12" ht="12.75" customHeight="1" x14ac:dyDescent="0.2">
      <c r="A46" s="8">
        <v>42</v>
      </c>
      <c r="B46" s="38">
        <v>44896</v>
      </c>
      <c r="C46" s="2"/>
      <c r="D46" s="94" t="s">
        <v>89</v>
      </c>
      <c r="E46" s="95"/>
      <c r="F46" s="96"/>
      <c r="G46" s="9"/>
      <c r="H46" s="9"/>
      <c r="I46" s="39" t="s">
        <v>90</v>
      </c>
      <c r="J46" s="8"/>
      <c r="K46" s="8"/>
      <c r="L46" s="8"/>
    </row>
    <row r="47" spans="1:12" ht="12.75" customHeight="1" x14ac:dyDescent="0.2">
      <c r="A47" s="1" t="s">
        <v>18</v>
      </c>
      <c r="B47" s="38"/>
      <c r="D47" s="97"/>
      <c r="E47" s="97"/>
      <c r="F47" s="97"/>
      <c r="G47" s="1"/>
      <c r="H47" s="1"/>
      <c r="J47" s="1"/>
      <c r="K47" s="1"/>
      <c r="L47" s="1"/>
    </row>
    <row r="48" spans="1:12" ht="12.75" customHeight="1" x14ac:dyDescent="0.2">
      <c r="A48" s="8">
        <v>13</v>
      </c>
      <c r="B48" s="38">
        <v>44889</v>
      </c>
      <c r="C48" s="2"/>
      <c r="D48" s="94" t="s">
        <v>23</v>
      </c>
      <c r="E48" s="95"/>
      <c r="F48" s="96"/>
      <c r="G48" s="9"/>
      <c r="H48" s="9"/>
      <c r="I48" s="39" t="s">
        <v>16</v>
      </c>
      <c r="J48" s="8"/>
      <c r="K48" s="8"/>
      <c r="L48" s="8"/>
    </row>
    <row r="49" spans="1:12" ht="12.75" customHeight="1" x14ac:dyDescent="0.2">
      <c r="A49" s="8">
        <v>16</v>
      </c>
      <c r="B49" s="38">
        <v>44889</v>
      </c>
      <c r="C49" s="2"/>
      <c r="D49" s="94" t="s">
        <v>20</v>
      </c>
      <c r="E49" s="95"/>
      <c r="F49" s="96"/>
      <c r="G49" s="9"/>
      <c r="H49" s="9"/>
      <c r="I49" s="39" t="s">
        <v>80</v>
      </c>
      <c r="J49" s="8"/>
      <c r="K49" s="8"/>
      <c r="L49" s="8"/>
    </row>
    <row r="50" spans="1:12" ht="12.75" customHeight="1" x14ac:dyDescent="0.2">
      <c r="A50" s="8">
        <v>29</v>
      </c>
      <c r="B50" s="38">
        <v>44893</v>
      </c>
      <c r="C50" s="2"/>
      <c r="D50" s="94" t="s">
        <v>16</v>
      </c>
      <c r="E50" s="95"/>
      <c r="F50" s="96"/>
      <c r="G50" s="9"/>
      <c r="H50" s="9"/>
      <c r="I50" s="39" t="s">
        <v>80</v>
      </c>
      <c r="J50" s="8"/>
      <c r="K50" s="8"/>
      <c r="L50" s="8"/>
    </row>
    <row r="51" spans="1:12" ht="12.75" customHeight="1" x14ac:dyDescent="0.2">
      <c r="A51" s="8">
        <v>31</v>
      </c>
      <c r="B51" s="38">
        <v>44893</v>
      </c>
      <c r="C51" s="2"/>
      <c r="D51" s="94" t="s">
        <v>20</v>
      </c>
      <c r="E51" s="95"/>
      <c r="F51" s="96"/>
      <c r="G51" s="9"/>
      <c r="H51" s="9"/>
      <c r="I51" s="39" t="s">
        <v>23</v>
      </c>
      <c r="J51" s="8"/>
      <c r="K51" s="8"/>
      <c r="L51" s="8"/>
    </row>
    <row r="52" spans="1:12" ht="12.75" customHeight="1" x14ac:dyDescent="0.2">
      <c r="A52" s="8">
        <v>47</v>
      </c>
      <c r="B52" s="38">
        <v>44897</v>
      </c>
      <c r="C52" s="2"/>
      <c r="D52" s="94" t="s">
        <v>80</v>
      </c>
      <c r="E52" s="95"/>
      <c r="F52" s="96"/>
      <c r="G52" s="9"/>
      <c r="H52" s="9"/>
      <c r="I52" s="39" t="s">
        <v>23</v>
      </c>
      <c r="J52" s="8"/>
      <c r="K52" s="8"/>
      <c r="L52" s="8"/>
    </row>
    <row r="53" spans="1:12" ht="12.75" customHeight="1" x14ac:dyDescent="0.2">
      <c r="A53" s="8">
        <v>48</v>
      </c>
      <c r="B53" s="38">
        <v>44897</v>
      </c>
      <c r="C53" s="2"/>
      <c r="D53" s="94" t="s">
        <v>16</v>
      </c>
      <c r="E53" s="95"/>
      <c r="F53" s="96"/>
      <c r="G53" s="9"/>
      <c r="H53" s="9"/>
      <c r="I53" s="39" t="s">
        <v>20</v>
      </c>
      <c r="J53" s="8"/>
      <c r="K53" s="8"/>
      <c r="L53" s="8"/>
    </row>
    <row r="54" spans="1:12" ht="12.75" customHeight="1" x14ac:dyDescent="0.2">
      <c r="A54" s="1" t="s">
        <v>21</v>
      </c>
      <c r="B54" s="38"/>
      <c r="D54" s="97"/>
      <c r="E54" s="97"/>
      <c r="F54" s="97"/>
      <c r="G54" s="1"/>
      <c r="H54" s="1"/>
      <c r="J54" s="1"/>
      <c r="K54" s="1"/>
      <c r="L54" s="1"/>
    </row>
    <row r="55" spans="1:12" ht="12.75" customHeight="1" x14ac:dyDescent="0.2">
      <c r="A55" s="8">
        <v>14</v>
      </c>
      <c r="B55" s="38">
        <v>44889</v>
      </c>
      <c r="C55" s="2"/>
      <c r="D55" s="94" t="s">
        <v>92</v>
      </c>
      <c r="E55" s="95"/>
      <c r="F55" s="96"/>
      <c r="G55" s="9"/>
      <c r="H55" s="9"/>
      <c r="I55" s="39" t="s">
        <v>91</v>
      </c>
      <c r="J55" s="8"/>
      <c r="K55" s="8"/>
      <c r="L55" s="8"/>
    </row>
    <row r="56" spans="1:12" ht="12.75" customHeight="1" x14ac:dyDescent="0.2">
      <c r="A56" s="8">
        <v>15</v>
      </c>
      <c r="B56" s="38">
        <v>44889</v>
      </c>
      <c r="C56" s="2"/>
      <c r="D56" s="94" t="s">
        <v>19</v>
      </c>
      <c r="E56" s="95"/>
      <c r="F56" s="96"/>
      <c r="G56" s="9"/>
      <c r="H56" s="9"/>
      <c r="I56" s="39" t="s">
        <v>13</v>
      </c>
      <c r="J56" s="8"/>
      <c r="K56" s="8"/>
      <c r="L56" s="8"/>
    </row>
    <row r="57" spans="1:12" ht="12.75" customHeight="1" x14ac:dyDescent="0.2">
      <c r="A57" s="8">
        <v>30</v>
      </c>
      <c r="B57" s="38">
        <v>44893</v>
      </c>
      <c r="C57" s="2"/>
      <c r="D57" s="94" t="s">
        <v>94</v>
      </c>
      <c r="E57" s="95"/>
      <c r="F57" s="96"/>
      <c r="G57" s="9"/>
      <c r="H57" s="9"/>
      <c r="I57" s="39" t="s">
        <v>13</v>
      </c>
      <c r="J57" s="8"/>
      <c r="K57" s="8"/>
      <c r="L57" s="8"/>
    </row>
    <row r="58" spans="1:12" ht="12.75" customHeight="1" x14ac:dyDescent="0.2">
      <c r="A58" s="8">
        <v>32</v>
      </c>
      <c r="B58" s="38">
        <v>44893</v>
      </c>
      <c r="C58" s="2"/>
      <c r="D58" s="94" t="s">
        <v>19</v>
      </c>
      <c r="E58" s="95"/>
      <c r="F58" s="96"/>
      <c r="G58" s="9"/>
      <c r="H58" s="9"/>
      <c r="I58" s="39" t="s">
        <v>4</v>
      </c>
      <c r="J58" s="8"/>
      <c r="K58" s="8"/>
      <c r="L58" s="8"/>
    </row>
    <row r="59" spans="1:12" ht="12.75" customHeight="1" x14ac:dyDescent="0.2">
      <c r="A59" s="8">
        <v>45</v>
      </c>
      <c r="B59" s="38">
        <v>44897</v>
      </c>
      <c r="C59" s="2"/>
      <c r="D59" s="94" t="s">
        <v>94</v>
      </c>
      <c r="E59" s="95"/>
      <c r="F59" s="96"/>
      <c r="G59" s="9"/>
      <c r="H59" s="9"/>
      <c r="I59" s="39" t="s">
        <v>19</v>
      </c>
      <c r="J59" s="8"/>
      <c r="K59" s="8"/>
      <c r="L59" s="8"/>
    </row>
    <row r="60" spans="1:12" ht="12.75" customHeight="1" x14ac:dyDescent="0.2">
      <c r="A60" s="8">
        <v>46</v>
      </c>
      <c r="B60" s="38">
        <v>44897</v>
      </c>
      <c r="C60" s="2"/>
      <c r="D60" s="94" t="s">
        <v>13</v>
      </c>
      <c r="E60" s="95"/>
      <c r="F60" s="96"/>
      <c r="G60" s="9"/>
      <c r="H60" s="9"/>
      <c r="I60" s="39" t="s">
        <v>4</v>
      </c>
      <c r="J60" s="8"/>
      <c r="K60" s="8"/>
      <c r="L60" s="8"/>
    </row>
    <row r="62" spans="1:12" ht="12.75" customHeight="1" x14ac:dyDescent="0.2">
      <c r="A62" s="10"/>
      <c r="B62" s="11" t="s">
        <v>32</v>
      </c>
      <c r="C62" s="12"/>
      <c r="D62" s="13"/>
      <c r="E62" s="13"/>
      <c r="F62" s="13"/>
      <c r="G62" s="10"/>
      <c r="H62" s="10"/>
      <c r="I62" s="11"/>
      <c r="J62" s="10"/>
      <c r="K62" s="10"/>
      <c r="L62" s="10"/>
    </row>
    <row r="64" spans="1:12" ht="12.75" customHeight="1" x14ac:dyDescent="0.2">
      <c r="B64" s="11"/>
      <c r="C64" s="99"/>
      <c r="D64" s="99"/>
      <c r="E64" s="99"/>
      <c r="F64" s="99"/>
      <c r="G64" s="99"/>
      <c r="H64" s="99"/>
      <c r="I64" s="99"/>
      <c r="J64" s="99"/>
      <c r="K64" s="99"/>
    </row>
    <row r="65" spans="1:11" ht="12.75" customHeight="1" x14ac:dyDescent="0.2">
      <c r="B65" s="11"/>
      <c r="C65" s="5"/>
      <c r="D65" s="5"/>
      <c r="E65" s="5"/>
      <c r="F65" s="5"/>
      <c r="G65" s="5"/>
      <c r="H65" s="5"/>
      <c r="J65" s="5"/>
      <c r="K65" s="5"/>
    </row>
    <row r="66" spans="1:11" ht="12.75" customHeight="1" x14ac:dyDescent="0.2">
      <c r="B66" s="12" t="s">
        <v>36</v>
      </c>
      <c r="C66" s="19" t="s">
        <v>37</v>
      </c>
      <c r="D66" s="19" t="s">
        <v>38</v>
      </c>
      <c r="E66" s="19" t="s">
        <v>35</v>
      </c>
      <c r="F66" s="19" t="s">
        <v>34</v>
      </c>
      <c r="J66" s="1"/>
      <c r="K66" s="6"/>
    </row>
    <row r="67" spans="1:11" ht="12.75" customHeight="1" x14ac:dyDescent="0.2">
      <c r="A67" s="5"/>
      <c r="C67" s="15">
        <v>16</v>
      </c>
      <c r="D67" s="15">
        <v>8</v>
      </c>
      <c r="E67" s="15">
        <v>4</v>
      </c>
      <c r="F67" s="15">
        <v>2</v>
      </c>
      <c r="G67" s="5"/>
      <c r="H67" s="5"/>
    </row>
    <row r="68" spans="1:11" ht="12.75" customHeight="1" x14ac:dyDescent="0.2">
      <c r="A68" s="5"/>
      <c r="B68" s="11"/>
      <c r="C68" s="17">
        <v>1</v>
      </c>
      <c r="D68" s="17">
        <v>2</v>
      </c>
      <c r="E68" s="17">
        <v>5</v>
      </c>
      <c r="F68" s="17">
        <v>8</v>
      </c>
      <c r="G68" s="5"/>
      <c r="H68" s="5"/>
    </row>
    <row r="69" spans="1:11" ht="12.75" customHeight="1" x14ac:dyDescent="0.2">
      <c r="A69" s="5"/>
      <c r="B69" s="5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25">
      <c r="A70" s="7">
        <v>1</v>
      </c>
      <c r="B70" s="40" t="s">
        <v>81</v>
      </c>
      <c r="C70" s="46"/>
      <c r="D70" s="47"/>
      <c r="E70" s="47"/>
      <c r="F70" s="47"/>
    </row>
    <row r="71" spans="1:11" ht="12.75" customHeight="1" x14ac:dyDescent="0.25">
      <c r="A71" s="7">
        <v>2</v>
      </c>
      <c r="B71" s="40" t="s">
        <v>76</v>
      </c>
      <c r="C71" s="46"/>
      <c r="D71" s="47"/>
      <c r="E71" s="47"/>
      <c r="F71" s="47"/>
    </row>
    <row r="72" spans="1:11" ht="12.75" customHeight="1" x14ac:dyDescent="0.25">
      <c r="A72" s="7">
        <v>3</v>
      </c>
      <c r="B72" s="40" t="s">
        <v>82</v>
      </c>
      <c r="C72" s="46"/>
      <c r="D72" s="47"/>
      <c r="E72" s="47"/>
      <c r="F72" s="47"/>
    </row>
    <row r="73" spans="1:11" ht="12.75" customHeight="1" x14ac:dyDescent="0.25">
      <c r="A73" s="7">
        <v>4</v>
      </c>
      <c r="B73" s="40" t="s">
        <v>83</v>
      </c>
      <c r="C73" s="46"/>
      <c r="D73" s="47"/>
      <c r="E73" s="47"/>
      <c r="F73" s="47"/>
    </row>
    <row r="74" spans="1:11" ht="12.75" customHeight="1" x14ac:dyDescent="0.25">
      <c r="A74" s="7">
        <v>5</v>
      </c>
      <c r="B74" s="40" t="s">
        <v>9</v>
      </c>
      <c r="C74" s="46"/>
      <c r="D74" s="47"/>
      <c r="E74" s="47"/>
      <c r="F74" s="47"/>
    </row>
    <row r="75" spans="1:11" ht="12.75" customHeight="1" x14ac:dyDescent="0.25">
      <c r="A75" s="7">
        <v>6</v>
      </c>
      <c r="B75" s="40" t="s">
        <v>84</v>
      </c>
      <c r="C75" s="46"/>
      <c r="D75" s="47"/>
      <c r="E75" s="47"/>
      <c r="F75" s="47"/>
    </row>
    <row r="76" spans="1:11" ht="12.75" customHeight="1" x14ac:dyDescent="0.25">
      <c r="A76" s="7">
        <v>7</v>
      </c>
      <c r="B76" s="40" t="s">
        <v>24</v>
      </c>
      <c r="C76" s="47"/>
      <c r="D76" s="47"/>
      <c r="E76" s="47"/>
      <c r="F76" s="47"/>
    </row>
    <row r="77" spans="1:11" ht="12.75" customHeight="1" x14ac:dyDescent="0.25">
      <c r="A77" s="7">
        <v>8</v>
      </c>
      <c r="B77" s="40" t="s">
        <v>85</v>
      </c>
      <c r="C77" s="46"/>
      <c r="D77" s="47"/>
      <c r="E77" s="47"/>
      <c r="F77" s="47"/>
    </row>
    <row r="78" spans="1:11" ht="12.75" customHeight="1" x14ac:dyDescent="0.2">
      <c r="A78" s="7">
        <v>9</v>
      </c>
      <c r="B78" s="41" t="s">
        <v>7</v>
      </c>
      <c r="C78" s="46"/>
      <c r="D78" s="47"/>
      <c r="E78" s="47"/>
      <c r="F78" s="47"/>
    </row>
    <row r="79" spans="1:11" ht="12.75" customHeight="1" x14ac:dyDescent="0.25">
      <c r="A79" s="7">
        <v>10</v>
      </c>
      <c r="B79" s="40" t="s">
        <v>86</v>
      </c>
      <c r="C79" s="46"/>
      <c r="D79" s="47"/>
      <c r="E79" s="47"/>
      <c r="F79" s="47"/>
    </row>
    <row r="80" spans="1:11" ht="12.75" customHeight="1" x14ac:dyDescent="0.2">
      <c r="A80" s="7">
        <v>11</v>
      </c>
      <c r="B80" s="41" t="s">
        <v>3</v>
      </c>
      <c r="C80" s="46"/>
      <c r="D80" s="47"/>
      <c r="E80" s="47"/>
      <c r="F80" s="47"/>
    </row>
    <row r="81" spans="1:6" ht="12.75" customHeight="1" x14ac:dyDescent="0.25">
      <c r="A81" s="7">
        <v>12</v>
      </c>
      <c r="B81" s="40" t="s">
        <v>87</v>
      </c>
      <c r="C81" s="46"/>
      <c r="D81" s="47"/>
      <c r="E81" s="47"/>
      <c r="F81" s="47"/>
    </row>
    <row r="82" spans="1:6" ht="12.75" customHeight="1" x14ac:dyDescent="0.2">
      <c r="A82" s="7">
        <v>13</v>
      </c>
      <c r="B82" s="41" t="s">
        <v>5</v>
      </c>
      <c r="C82" s="46"/>
      <c r="D82" s="47"/>
      <c r="E82" s="47"/>
      <c r="F82" s="47"/>
    </row>
    <row r="83" spans="1:6" ht="12.75" customHeight="1" x14ac:dyDescent="0.2">
      <c r="A83" s="7">
        <v>14</v>
      </c>
      <c r="B83" s="39" t="s">
        <v>12</v>
      </c>
      <c r="C83" s="46"/>
      <c r="D83" s="47"/>
      <c r="E83" s="47"/>
      <c r="F83" s="47"/>
    </row>
    <row r="84" spans="1:6" ht="12.75" customHeight="1" x14ac:dyDescent="0.2">
      <c r="A84" s="7">
        <v>15</v>
      </c>
      <c r="B84" s="41" t="s">
        <v>79</v>
      </c>
      <c r="C84" s="46"/>
      <c r="D84" s="47"/>
      <c r="E84" s="47"/>
      <c r="F84" s="47"/>
    </row>
    <row r="85" spans="1:6" ht="12.75" customHeight="1" x14ac:dyDescent="0.2">
      <c r="A85" s="7">
        <v>16</v>
      </c>
      <c r="B85" s="39" t="s">
        <v>88</v>
      </c>
      <c r="C85" s="46"/>
      <c r="D85" s="47"/>
      <c r="E85" s="47"/>
      <c r="F85" s="47"/>
    </row>
    <row r="86" spans="1:6" ht="12.75" customHeight="1" x14ac:dyDescent="0.2">
      <c r="A86" s="7">
        <v>17</v>
      </c>
      <c r="B86" s="41" t="s">
        <v>22</v>
      </c>
      <c r="C86" s="47"/>
      <c r="D86" s="47"/>
      <c r="E86" s="47"/>
      <c r="F86" s="47"/>
    </row>
    <row r="87" spans="1:6" ht="12.75" customHeight="1" x14ac:dyDescent="0.2">
      <c r="A87" s="7">
        <v>18</v>
      </c>
      <c r="B87" s="39" t="s">
        <v>75</v>
      </c>
      <c r="C87" s="47"/>
      <c r="D87" s="47"/>
      <c r="E87" s="47"/>
      <c r="F87" s="47"/>
    </row>
    <row r="88" spans="1:6" ht="12.75" customHeight="1" x14ac:dyDescent="0.2">
      <c r="A88" s="7">
        <v>19</v>
      </c>
      <c r="B88" s="41" t="s">
        <v>11</v>
      </c>
      <c r="C88" s="47"/>
      <c r="D88" s="47"/>
      <c r="E88" s="47"/>
      <c r="F88" s="47"/>
    </row>
    <row r="89" spans="1:6" ht="12.75" customHeight="1" x14ac:dyDescent="0.2">
      <c r="A89" s="7">
        <v>20</v>
      </c>
      <c r="B89" s="39" t="s">
        <v>15</v>
      </c>
      <c r="C89" s="47"/>
      <c r="D89" s="47"/>
      <c r="E89" s="47"/>
      <c r="F89" s="47"/>
    </row>
    <row r="90" spans="1:6" ht="12.75" customHeight="1" x14ac:dyDescent="0.2">
      <c r="A90" s="7">
        <v>21</v>
      </c>
      <c r="B90" s="41" t="s">
        <v>77</v>
      </c>
      <c r="C90" s="47"/>
      <c r="D90" s="47"/>
      <c r="E90" s="47"/>
      <c r="F90" s="47"/>
    </row>
    <row r="91" spans="1:6" ht="12.75" customHeight="1" x14ac:dyDescent="0.2">
      <c r="A91" s="7">
        <v>22</v>
      </c>
      <c r="B91" s="39" t="s">
        <v>89</v>
      </c>
      <c r="C91" s="47"/>
      <c r="D91" s="47"/>
      <c r="E91" s="47"/>
      <c r="F91" s="47"/>
    </row>
    <row r="92" spans="1:6" ht="12.75" customHeight="1" x14ac:dyDescent="0.2">
      <c r="A92" s="7">
        <v>23</v>
      </c>
      <c r="B92" s="41" t="s">
        <v>90</v>
      </c>
      <c r="C92" s="47"/>
      <c r="D92" s="47"/>
      <c r="E92" s="47"/>
      <c r="F92" s="47"/>
    </row>
    <row r="93" spans="1:6" ht="12.75" customHeight="1" x14ac:dyDescent="0.2">
      <c r="A93" s="7">
        <v>24</v>
      </c>
      <c r="B93" s="39" t="s">
        <v>74</v>
      </c>
      <c r="C93" s="47"/>
      <c r="D93" s="47"/>
      <c r="E93" s="47"/>
      <c r="F93" s="47"/>
    </row>
    <row r="94" spans="1:6" ht="12.75" customHeight="1" x14ac:dyDescent="0.2">
      <c r="A94" s="7">
        <v>25</v>
      </c>
      <c r="B94" s="41" t="s">
        <v>20</v>
      </c>
      <c r="C94" s="47"/>
      <c r="D94" s="47"/>
      <c r="E94" s="47"/>
      <c r="F94" s="47"/>
    </row>
    <row r="95" spans="1:6" ht="12.75" customHeight="1" x14ac:dyDescent="0.2">
      <c r="A95" s="7">
        <v>26</v>
      </c>
      <c r="B95" s="39" t="s">
        <v>80</v>
      </c>
      <c r="C95" s="47"/>
      <c r="D95" s="47"/>
      <c r="E95" s="47"/>
      <c r="F95" s="47"/>
    </row>
    <row r="96" spans="1:6" ht="12.75" customHeight="1" x14ac:dyDescent="0.2">
      <c r="A96" s="7">
        <v>27</v>
      </c>
      <c r="B96" s="41" t="s">
        <v>23</v>
      </c>
      <c r="C96" s="47"/>
      <c r="D96" s="47"/>
      <c r="E96" s="47"/>
      <c r="F96" s="47"/>
    </row>
    <row r="97" spans="1:16" ht="12.75" customHeight="1" x14ac:dyDescent="0.2">
      <c r="A97" s="7">
        <v>28</v>
      </c>
      <c r="B97" s="39" t="s">
        <v>16</v>
      </c>
      <c r="C97" s="47"/>
      <c r="D97" s="47"/>
      <c r="E97" s="47"/>
      <c r="F97" s="47"/>
    </row>
    <row r="98" spans="1:16" ht="12.75" customHeight="1" x14ac:dyDescent="0.2">
      <c r="A98" s="7">
        <v>29</v>
      </c>
      <c r="B98" s="41" t="s">
        <v>19</v>
      </c>
      <c r="C98" s="47"/>
      <c r="D98" s="47"/>
      <c r="E98" s="47"/>
      <c r="F98" s="47"/>
    </row>
    <row r="99" spans="1:16" ht="12.75" customHeight="1" x14ac:dyDescent="0.2">
      <c r="A99" s="7">
        <v>30</v>
      </c>
      <c r="B99" s="39" t="s">
        <v>13</v>
      </c>
      <c r="C99" s="47"/>
      <c r="D99" s="47"/>
      <c r="E99" s="47"/>
      <c r="F99" s="47"/>
    </row>
    <row r="100" spans="1:16" ht="12.75" customHeight="1" x14ac:dyDescent="0.2">
      <c r="A100" s="7">
        <v>31</v>
      </c>
      <c r="B100" s="41" t="s">
        <v>4</v>
      </c>
      <c r="C100" s="47"/>
      <c r="D100" s="47"/>
      <c r="E100" s="47"/>
      <c r="F100" s="47"/>
    </row>
    <row r="101" spans="1:16" ht="12.75" customHeight="1" x14ac:dyDescent="0.2">
      <c r="A101" s="7">
        <v>32</v>
      </c>
      <c r="B101" s="39" t="s">
        <v>91</v>
      </c>
      <c r="C101" s="47"/>
      <c r="D101" s="47"/>
      <c r="E101" s="47"/>
      <c r="F101" s="47"/>
    </row>
    <row r="103" spans="1:16" ht="12.75" customHeight="1" x14ac:dyDescent="0.2">
      <c r="A103" s="11" t="s">
        <v>33</v>
      </c>
      <c r="M103" s="7"/>
      <c r="N103" s="7"/>
      <c r="O103" s="7"/>
      <c r="P103" s="7"/>
    </row>
    <row r="104" spans="1:16" ht="12.75" customHeight="1" x14ac:dyDescent="0.2">
      <c r="M104" s="7"/>
      <c r="N104" s="7"/>
      <c r="O104" s="7"/>
      <c r="P104" s="7"/>
    </row>
    <row r="105" spans="1:16" ht="12.75" customHeight="1" x14ac:dyDescent="0.2">
      <c r="A105" s="7" t="s">
        <v>63</v>
      </c>
      <c r="B105" s="28"/>
      <c r="D105" s="25"/>
      <c r="M105" s="7"/>
      <c r="N105" s="7"/>
      <c r="O105" s="7"/>
      <c r="P105" s="7"/>
    </row>
    <row r="106" spans="1:16" ht="12.75" customHeight="1" x14ac:dyDescent="0.2">
      <c r="A106" s="7" t="s">
        <v>64</v>
      </c>
      <c r="B106" s="28"/>
      <c r="D106" s="25"/>
      <c r="M106" s="7"/>
      <c r="N106" s="7"/>
      <c r="O106" s="7"/>
      <c r="P106" s="7"/>
    </row>
    <row r="107" spans="1:16" ht="12.75" customHeight="1" x14ac:dyDescent="0.2">
      <c r="A107" s="7" t="s">
        <v>65</v>
      </c>
      <c r="B107" s="28"/>
      <c r="D107" s="25"/>
      <c r="M107" s="7"/>
      <c r="N107" s="7"/>
      <c r="O107" s="7"/>
      <c r="P107" s="7"/>
    </row>
    <row r="108" spans="1:16" ht="12.75" customHeight="1" x14ac:dyDescent="0.2">
      <c r="A108" s="7" t="s">
        <v>66</v>
      </c>
      <c r="B108" s="28"/>
      <c r="D108" s="25"/>
      <c r="M108" s="7"/>
      <c r="N108" s="7"/>
      <c r="O108" s="7"/>
      <c r="P108" s="7"/>
    </row>
  </sheetData>
  <sheetProtection algorithmName="SHA-512" hashValue="0BMg/xDXCjSo9WKcAbhoO7Vdyar9g0X39/Nj2PkWB5nVTu8O6gHI6Ds7mbieHmoY1/hxUHA92wLlv0DDKuDDnw==" saltValue="F4YHoE+MonsqmrV4Ta6OeQ==" spinCount="100000" sheet="1" objects="1" scenarios="1"/>
  <mergeCells count="58">
    <mergeCell ref="C64:K64"/>
    <mergeCell ref="D28:F28"/>
    <mergeCell ref="D29:F29"/>
    <mergeCell ref="D30:F30"/>
    <mergeCell ref="D31:F31"/>
    <mergeCell ref="D32:F32"/>
    <mergeCell ref="D58:F58"/>
    <mergeCell ref="D45:F45"/>
    <mergeCell ref="D40:F40"/>
    <mergeCell ref="D37:F37"/>
    <mergeCell ref="D38:F38"/>
    <mergeCell ref="D35:F35"/>
    <mergeCell ref="D36:F36"/>
    <mergeCell ref="D59:F59"/>
    <mergeCell ref="D60:F60"/>
    <mergeCell ref="D57:F57"/>
    <mergeCell ref="D55:F55"/>
    <mergeCell ref="D56:F56"/>
    <mergeCell ref="D53:F53"/>
    <mergeCell ref="D54:F54"/>
    <mergeCell ref="D10:F10"/>
    <mergeCell ref="D49:F49"/>
    <mergeCell ref="D50:F50"/>
    <mergeCell ref="D51:F51"/>
    <mergeCell ref="D52:F52"/>
    <mergeCell ref="D42:F42"/>
    <mergeCell ref="D41:F41"/>
    <mergeCell ref="D21:F21"/>
    <mergeCell ref="D22:F22"/>
    <mergeCell ref="D47:F47"/>
    <mergeCell ref="D48:F48"/>
    <mergeCell ref="D46:F46"/>
    <mergeCell ref="G3:H3"/>
    <mergeCell ref="G4:H4"/>
    <mergeCell ref="D19:F19"/>
    <mergeCell ref="D20:F20"/>
    <mergeCell ref="D13:F13"/>
    <mergeCell ref="D14:F14"/>
    <mergeCell ref="D15:F15"/>
    <mergeCell ref="D6:F6"/>
    <mergeCell ref="D7:F7"/>
    <mergeCell ref="D8:F8"/>
    <mergeCell ref="D12:F12"/>
    <mergeCell ref="D16:F16"/>
    <mergeCell ref="D17:F17"/>
    <mergeCell ref="D18:F18"/>
    <mergeCell ref="D9:F9"/>
    <mergeCell ref="D11:F11"/>
    <mergeCell ref="D43:F43"/>
    <mergeCell ref="D44:F44"/>
    <mergeCell ref="D39:F39"/>
    <mergeCell ref="D23:F23"/>
    <mergeCell ref="D24:F24"/>
    <mergeCell ref="D25:F25"/>
    <mergeCell ref="D26:F26"/>
    <mergeCell ref="D27:F27"/>
    <mergeCell ref="D33:F33"/>
    <mergeCell ref="D34:F34"/>
  </mergeCells>
  <phoneticPr fontId="0" type="noConversion"/>
  <conditionalFormatting sqref="A103:XFD108">
    <cfRule type="cellIs" dxfId="636" priority="5" stopIfTrue="1" operator="lessThan">
      <formula>0</formula>
    </cfRule>
  </conditionalFormatting>
  <conditionalFormatting sqref="B70:B102">
    <cfRule type="cellIs" dxfId="635" priority="1" stopIfTrue="1" operator="lessThan">
      <formula>0</formula>
    </cfRule>
  </conditionalFormatting>
  <conditionalFormatting sqref="B12:D12 B19 B26">
    <cfRule type="cellIs" dxfId="634" priority="3" stopIfTrue="1" operator="lessThan">
      <formula>0</formula>
    </cfRule>
  </conditionalFormatting>
  <conditionalFormatting sqref="B1:L2 A1:A68 B3:F11 G3:K25 L3:L65536 B13:F25 B26:K65 I66 J66:K68 C67:F67 G67:I68 B68 B70:C85 H70:K86 C70:C65536 J70:K65536 C75:F101 D75:F65536 G86:I65536 A102:A65536 B104:B65536">
    <cfRule type="cellIs" dxfId="633" priority="10" stopIfTrue="1" operator="lessThan">
      <formula>0</formula>
    </cfRule>
  </conditionalFormatting>
  <conditionalFormatting sqref="D19:F19 D26:F26 D33:F33 D40:F40 D47:F47 D54:F54">
    <cfRule type="cellIs" dxfId="632" priority="4" stopIfTrue="1" operator="lessThan">
      <formula>0</formula>
    </cfRule>
  </conditionalFormatting>
  <conditionalFormatting sqref="G6:H11 G13:H18 G20:H25 G27:H32 G34:H39 G41:H46 G48:H53 G55:H60">
    <cfRule type="cellIs" dxfId="631" priority="43" stopIfTrue="1" operator="lessThan">
      <formula>0</formula>
    </cfRule>
  </conditionalFormatting>
  <conditionalFormatting sqref="I12 I19 I26 I33 I40 I47 I54">
    <cfRule type="cellIs" dxfId="63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35"/>
  <sheetViews>
    <sheetView workbookViewId="0">
      <pane ySplit="9" topLeftCell="A10" activePane="bottomLeft" state="frozen"/>
      <selection activeCell="H7" sqref="H7"/>
      <selection pane="bottomLeft" activeCell="A16" sqref="A16"/>
    </sheetView>
  </sheetViews>
  <sheetFormatPr baseColWidth="10" defaultColWidth="11.28515625" defaultRowHeight="12.75" customHeight="1" x14ac:dyDescent="0.2"/>
  <cols>
    <col min="1" max="1" width="7.42578125" style="7" bestFit="1" customWidth="1"/>
    <col min="2" max="2" width="16" style="7" customWidth="1"/>
    <col min="3" max="3" width="4.7109375" style="1" customWidth="1"/>
    <col min="4" max="6" width="4.7109375" style="6" customWidth="1"/>
    <col min="7" max="8" width="5" style="7" customWidth="1"/>
    <col min="9" max="9" width="15.28515625" style="5" customWidth="1"/>
    <col min="10" max="10" width="3.28515625" style="7" customWidth="1"/>
    <col min="11" max="15" width="3.42578125" style="7" customWidth="1"/>
    <col min="16" max="16" width="1.7109375" style="7" customWidth="1"/>
    <col min="17" max="19" width="5.5703125" style="1" customWidth="1"/>
    <col min="20" max="16384" width="11.28515625" style="1"/>
  </cols>
  <sheetData>
    <row r="1" spans="1:22" ht="12.75" customHeight="1" x14ac:dyDescent="0.2">
      <c r="B1" s="5" t="s">
        <v>95</v>
      </c>
      <c r="I1" s="6"/>
      <c r="J1" s="5"/>
      <c r="M1" s="5"/>
      <c r="O1" s="102" t="s">
        <v>61</v>
      </c>
      <c r="Q1" s="1" t="s">
        <v>58</v>
      </c>
      <c r="S1" s="42">
        <v>0.7</v>
      </c>
    </row>
    <row r="2" spans="1:22" ht="12.75" customHeight="1" x14ac:dyDescent="0.2">
      <c r="B2" s="25" t="s">
        <v>53</v>
      </c>
      <c r="E2" s="103" t="s">
        <v>54</v>
      </c>
      <c r="F2" s="103"/>
      <c r="G2" s="103"/>
      <c r="I2" s="6"/>
      <c r="J2" s="5"/>
      <c r="L2" s="7">
        <v>5</v>
      </c>
      <c r="M2" s="43" t="s">
        <v>57</v>
      </c>
      <c r="O2" s="102"/>
      <c r="Q2" s="1" t="s">
        <v>59</v>
      </c>
      <c r="S2" s="42">
        <v>0.2</v>
      </c>
      <c r="T2" s="26"/>
    </row>
    <row r="3" spans="1:22" ht="12.75" customHeight="1" x14ac:dyDescent="0.2">
      <c r="B3" s="25" t="s">
        <v>62</v>
      </c>
      <c r="I3" s="6"/>
      <c r="J3" s="5"/>
      <c r="M3" s="43"/>
      <c r="O3" s="102"/>
      <c r="Q3" s="1" t="s">
        <v>60</v>
      </c>
      <c r="S3" s="42">
        <v>0.1</v>
      </c>
      <c r="T3" s="26"/>
    </row>
    <row r="4" spans="1:22" ht="12.75" customHeight="1" x14ac:dyDescent="0.2">
      <c r="B4" s="25"/>
      <c r="I4" s="6"/>
      <c r="J4" s="5"/>
      <c r="M4" s="43"/>
      <c r="O4" s="27"/>
      <c r="S4" s="42"/>
      <c r="T4" s="26"/>
    </row>
    <row r="5" spans="1:22" ht="12.75" customHeight="1" x14ac:dyDescent="0.2">
      <c r="B5" s="5" t="s">
        <v>27</v>
      </c>
      <c r="C5" s="104"/>
      <c r="D5" s="105"/>
      <c r="E5" s="105"/>
      <c r="F5" s="105"/>
      <c r="G5" s="105"/>
      <c r="H5" s="105"/>
      <c r="I5" s="106"/>
      <c r="L5" s="107" t="s">
        <v>55</v>
      </c>
      <c r="M5" s="107"/>
      <c r="N5" s="107"/>
      <c r="O5" s="107"/>
      <c r="Q5" s="108" t="s">
        <v>31</v>
      </c>
      <c r="R5" s="108"/>
      <c r="S5" s="108"/>
    </row>
    <row r="6" spans="1:22" ht="12.75" customHeight="1" x14ac:dyDescent="0.2">
      <c r="B6" s="1"/>
      <c r="D6" s="1"/>
      <c r="E6" s="1"/>
      <c r="F6" s="1"/>
      <c r="G6" s="1"/>
      <c r="H6" s="1"/>
      <c r="I6" s="1"/>
      <c r="L6" s="108" t="s">
        <v>56</v>
      </c>
      <c r="M6" s="108"/>
      <c r="N6" s="108"/>
      <c r="O6" s="108"/>
      <c r="Q6" s="108" t="s">
        <v>96</v>
      </c>
      <c r="R6" s="108"/>
      <c r="S6" s="108"/>
    </row>
    <row r="7" spans="1:22" ht="12.75" customHeight="1" x14ac:dyDescent="0.2">
      <c r="C7" s="24"/>
    </row>
    <row r="8" spans="1:22" ht="12.75" customHeight="1" x14ac:dyDescent="0.2">
      <c r="A8" s="8" t="s">
        <v>1</v>
      </c>
      <c r="B8" s="8" t="s">
        <v>78</v>
      </c>
      <c r="C8" s="2"/>
      <c r="D8" s="4"/>
      <c r="E8" s="4"/>
      <c r="F8" s="4"/>
      <c r="G8" s="98" t="s">
        <v>2</v>
      </c>
      <c r="H8" s="98"/>
      <c r="I8" s="3"/>
      <c r="J8" s="8"/>
      <c r="K8" s="8"/>
      <c r="L8" s="98" t="s">
        <v>2</v>
      </c>
      <c r="M8" s="98"/>
      <c r="N8" s="98"/>
      <c r="O8" s="98"/>
      <c r="P8" s="8"/>
      <c r="Q8" s="100" t="s">
        <v>25</v>
      </c>
      <c r="R8" s="100"/>
      <c r="S8" s="100"/>
    </row>
    <row r="9" spans="1:22" ht="12.75" customHeight="1" x14ac:dyDescent="0.2">
      <c r="A9" s="8"/>
      <c r="B9" s="8"/>
      <c r="C9" s="2"/>
      <c r="D9" s="4"/>
      <c r="E9" s="4"/>
      <c r="F9" s="4"/>
      <c r="G9" s="98" t="s">
        <v>41</v>
      </c>
      <c r="H9" s="98"/>
      <c r="I9" s="3"/>
      <c r="J9" s="8"/>
      <c r="K9" s="8"/>
      <c r="L9" s="98" t="s">
        <v>26</v>
      </c>
      <c r="M9" s="98"/>
      <c r="N9" s="98"/>
      <c r="O9" s="98"/>
      <c r="P9" s="8"/>
      <c r="Q9" s="6" t="s">
        <v>29</v>
      </c>
      <c r="R9" s="6" t="s">
        <v>30</v>
      </c>
      <c r="S9" s="6" t="s">
        <v>28</v>
      </c>
    </row>
    <row r="10" spans="1:22" ht="12.75" customHeight="1" x14ac:dyDescent="0.2">
      <c r="A10" s="1" t="s">
        <v>0</v>
      </c>
      <c r="B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2" ht="12.75" customHeight="1" x14ac:dyDescent="0.2">
      <c r="A11" s="8">
        <v>1</v>
      </c>
      <c r="B11" s="44">
        <v>44885</v>
      </c>
      <c r="C11" s="45"/>
      <c r="D11" s="94" t="s">
        <v>81</v>
      </c>
      <c r="E11" s="95"/>
      <c r="F11" s="96"/>
      <c r="G11" s="48"/>
      <c r="H11" s="48"/>
      <c r="I11" s="39" t="s">
        <v>76</v>
      </c>
      <c r="J11" s="8"/>
      <c r="K11" s="8"/>
      <c r="L11" s="101">
        <f>OFICIAL!G6</f>
        <v>0</v>
      </c>
      <c r="M11" s="101">
        <f>OFICIAL!G6</f>
        <v>0</v>
      </c>
      <c r="N11" s="101">
        <v>0</v>
      </c>
      <c r="O11" s="101" t="str">
        <f>OFICIAL!I6</f>
        <v>Ecuador</v>
      </c>
      <c r="P11" s="8"/>
      <c r="Q11" s="20">
        <f t="shared" ref="Q11:Q16" si="0">IF(AND(OR(AND(G11-H11&gt;0,L11-N11&gt;0),AND(G11-H11&lt;0,L11-N11&lt;0),AND(G11-H11=0,L11-N11=0)),L11&gt;-1,N11&gt;-1),1,0)</f>
        <v>1</v>
      </c>
      <c r="R11" s="20">
        <f t="shared" ref="R11:R16" si="1">IF(AND(G11=L11,H11=N11,L11&gt;-1,G11&gt;-1),3,0)</f>
        <v>3</v>
      </c>
      <c r="S11" s="20">
        <f t="shared" ref="S11:S16" si="2">Q11+R11</f>
        <v>4</v>
      </c>
      <c r="V11" s="7"/>
    </row>
    <row r="12" spans="1:22" ht="12.75" customHeight="1" x14ac:dyDescent="0.2">
      <c r="A12" s="8">
        <v>3</v>
      </c>
      <c r="B12" s="44">
        <v>44886</v>
      </c>
      <c r="C12" s="45"/>
      <c r="D12" s="94" t="s">
        <v>82</v>
      </c>
      <c r="E12" s="95"/>
      <c r="F12" s="96"/>
      <c r="G12" s="48"/>
      <c r="H12" s="48"/>
      <c r="I12" s="39" t="s">
        <v>83</v>
      </c>
      <c r="J12" s="8"/>
      <c r="K12" s="8"/>
      <c r="L12" s="101">
        <f>OFICIAL!G7</f>
        <v>0</v>
      </c>
      <c r="M12" s="101">
        <f>OFICIAL!G7</f>
        <v>0</v>
      </c>
      <c r="N12" s="101">
        <f>OFICIAL!H7</f>
        <v>0</v>
      </c>
      <c r="O12" s="101" t="str">
        <f>OFICIAL!I7</f>
        <v>Países Bajos</v>
      </c>
      <c r="P12" s="8"/>
      <c r="Q12" s="20">
        <f t="shared" si="0"/>
        <v>1</v>
      </c>
      <c r="R12" s="20">
        <f t="shared" si="1"/>
        <v>3</v>
      </c>
      <c r="S12" s="20">
        <f t="shared" si="2"/>
        <v>4</v>
      </c>
      <c r="V12" s="7"/>
    </row>
    <row r="13" spans="1:22" ht="12.75" customHeight="1" x14ac:dyDescent="0.2">
      <c r="A13" s="8">
        <v>18</v>
      </c>
      <c r="B13" s="44">
        <v>44890</v>
      </c>
      <c r="C13" s="45"/>
      <c r="D13" s="94" t="s">
        <v>81</v>
      </c>
      <c r="E13" s="95"/>
      <c r="F13" s="96"/>
      <c r="G13" s="48"/>
      <c r="H13" s="48"/>
      <c r="I13" s="39" t="s">
        <v>82</v>
      </c>
      <c r="J13" s="8"/>
      <c r="K13" s="8"/>
      <c r="L13" s="101">
        <f>OFICIAL!G8</f>
        <v>0</v>
      </c>
      <c r="M13" s="101">
        <f>OFICIAL!G8</f>
        <v>0</v>
      </c>
      <c r="N13" s="101">
        <f>OFICIAL!H8</f>
        <v>0</v>
      </c>
      <c r="O13" s="101" t="str">
        <f>OFICIAL!I8</f>
        <v>Senegal</v>
      </c>
      <c r="P13" s="8"/>
      <c r="Q13" s="20">
        <f t="shared" si="0"/>
        <v>1</v>
      </c>
      <c r="R13" s="20">
        <f t="shared" si="1"/>
        <v>3</v>
      </c>
      <c r="S13" s="20">
        <f t="shared" si="2"/>
        <v>4</v>
      </c>
      <c r="V13" s="7"/>
    </row>
    <row r="14" spans="1:22" ht="12.75" customHeight="1" x14ac:dyDescent="0.2">
      <c r="A14" s="8">
        <v>19</v>
      </c>
      <c r="B14" s="44">
        <v>44890</v>
      </c>
      <c r="C14" s="45"/>
      <c r="D14" s="94" t="s">
        <v>83</v>
      </c>
      <c r="E14" s="95"/>
      <c r="F14" s="96"/>
      <c r="G14" s="48"/>
      <c r="H14" s="48"/>
      <c r="I14" s="39" t="s">
        <v>76</v>
      </c>
      <c r="J14" s="8"/>
      <c r="K14" s="8"/>
      <c r="L14" s="101">
        <f>OFICIAL!G9</f>
        <v>0</v>
      </c>
      <c r="M14" s="101">
        <f>OFICIAL!G9</f>
        <v>0</v>
      </c>
      <c r="N14" s="101">
        <f>OFICIAL!H9</f>
        <v>0</v>
      </c>
      <c r="O14" s="101" t="str">
        <f>OFICIAL!I9</f>
        <v>Ecuador</v>
      </c>
      <c r="P14" s="8"/>
      <c r="Q14" s="20">
        <f t="shared" si="0"/>
        <v>1</v>
      </c>
      <c r="R14" s="20">
        <f t="shared" si="1"/>
        <v>3</v>
      </c>
      <c r="S14" s="20">
        <f t="shared" si="2"/>
        <v>4</v>
      </c>
      <c r="V14" s="7"/>
    </row>
    <row r="15" spans="1:22" ht="12.75" customHeight="1" x14ac:dyDescent="0.2">
      <c r="A15" s="8">
        <v>33</v>
      </c>
      <c r="B15" s="44">
        <v>44894</v>
      </c>
      <c r="C15" s="45"/>
      <c r="D15" s="94" t="s">
        <v>83</v>
      </c>
      <c r="E15" s="95"/>
      <c r="F15" s="96"/>
      <c r="G15" s="48"/>
      <c r="H15" s="48"/>
      <c r="I15" s="39" t="s">
        <v>81</v>
      </c>
      <c r="J15" s="8"/>
      <c r="K15" s="8"/>
      <c r="L15" s="101">
        <f>OFICIAL!G10</f>
        <v>0</v>
      </c>
      <c r="M15" s="101">
        <f>OFICIAL!G10</f>
        <v>0</v>
      </c>
      <c r="N15" s="101">
        <f>OFICIAL!H10</f>
        <v>0</v>
      </c>
      <c r="O15" s="101" t="str">
        <f>OFICIAL!I10</f>
        <v>Qatar</v>
      </c>
      <c r="P15" s="8"/>
      <c r="Q15" s="20">
        <f t="shared" si="0"/>
        <v>1</v>
      </c>
      <c r="R15" s="20">
        <f t="shared" si="1"/>
        <v>3</v>
      </c>
      <c r="S15" s="20">
        <f t="shared" si="2"/>
        <v>4</v>
      </c>
      <c r="V15" s="7"/>
    </row>
    <row r="16" spans="1:22" ht="12.75" customHeight="1" x14ac:dyDescent="0.2">
      <c r="A16" s="8">
        <v>34</v>
      </c>
      <c r="B16" s="44">
        <v>44894</v>
      </c>
      <c r="C16" s="45"/>
      <c r="D16" s="94" t="s">
        <v>76</v>
      </c>
      <c r="E16" s="95"/>
      <c r="F16" s="96"/>
      <c r="G16" s="48"/>
      <c r="H16" s="48"/>
      <c r="I16" s="39" t="s">
        <v>82</v>
      </c>
      <c r="J16" s="8"/>
      <c r="K16" s="8"/>
      <c r="L16" s="101">
        <f>OFICIAL!G11</f>
        <v>0</v>
      </c>
      <c r="M16" s="101">
        <f>OFICIAL!G11</f>
        <v>0</v>
      </c>
      <c r="N16" s="101">
        <f>OFICIAL!H11</f>
        <v>0</v>
      </c>
      <c r="O16" s="101" t="str">
        <f>OFICIAL!I11</f>
        <v>Senegal</v>
      </c>
      <c r="P16" s="8"/>
      <c r="Q16" s="20">
        <f t="shared" si="0"/>
        <v>1</v>
      </c>
      <c r="R16" s="20">
        <f t="shared" si="1"/>
        <v>3</v>
      </c>
      <c r="S16" s="20">
        <f t="shared" si="2"/>
        <v>4</v>
      </c>
      <c r="V16" s="7"/>
    </row>
    <row r="17" spans="1:22" ht="12.75" customHeight="1" x14ac:dyDescent="0.2">
      <c r="A17" s="1" t="s">
        <v>6</v>
      </c>
      <c r="B17" s="1"/>
      <c r="D17" s="97"/>
      <c r="E17" s="97"/>
      <c r="F17" s="97"/>
      <c r="G17" s="1"/>
      <c r="H17" s="1"/>
      <c r="J17" s="1"/>
      <c r="K17" s="1"/>
      <c r="L17" s="109"/>
      <c r="M17" s="109"/>
      <c r="N17" s="110"/>
      <c r="O17" s="110"/>
      <c r="P17" s="1"/>
      <c r="V17" s="7"/>
    </row>
    <row r="18" spans="1:22" ht="12.75" customHeight="1" x14ac:dyDescent="0.2">
      <c r="A18" s="8">
        <v>2</v>
      </c>
      <c r="B18" s="44">
        <v>44886</v>
      </c>
      <c r="C18" s="45"/>
      <c r="D18" s="94" t="s">
        <v>9</v>
      </c>
      <c r="E18" s="95"/>
      <c r="F18" s="96"/>
      <c r="G18" s="48"/>
      <c r="H18" s="48"/>
      <c r="I18" s="39" t="s">
        <v>84</v>
      </c>
      <c r="J18" s="8"/>
      <c r="K18" s="8"/>
      <c r="L18" s="101">
        <f>OFICIAL!G13</f>
        <v>0</v>
      </c>
      <c r="M18" s="101">
        <f>OFICIAL!G13</f>
        <v>0</v>
      </c>
      <c r="N18" s="101">
        <f>OFICIAL!H13</f>
        <v>0</v>
      </c>
      <c r="O18" s="101" t="str">
        <f>OFICIAL!I13</f>
        <v>Irán</v>
      </c>
      <c r="P18" s="8"/>
      <c r="Q18" s="20">
        <f t="shared" ref="Q18:Q23" si="3">IF(AND(OR(AND(G18-H18&gt;0,L18-N18&gt;0),AND(G18-H18&lt;0,L18-N18&lt;0),AND(G18-H18=0,L18-N18=0)),L18&gt;-1,N18&gt;-1),1,0)</f>
        <v>1</v>
      </c>
      <c r="R18" s="20">
        <f t="shared" ref="R18:R23" si="4">IF(AND(G18=L18,H18=N18,L18&gt;-1,G18&gt;-1),3,0)</f>
        <v>3</v>
      </c>
      <c r="S18" s="20">
        <f t="shared" ref="S18:S23" si="5">Q18+R18</f>
        <v>4</v>
      </c>
      <c r="V18" s="7"/>
    </row>
    <row r="19" spans="1:22" ht="12.75" customHeight="1" x14ac:dyDescent="0.2">
      <c r="A19" s="8">
        <v>4</v>
      </c>
      <c r="B19" s="44">
        <v>44886</v>
      </c>
      <c r="C19" s="45"/>
      <c r="D19" s="94" t="s">
        <v>24</v>
      </c>
      <c r="E19" s="95"/>
      <c r="F19" s="96"/>
      <c r="G19" s="48"/>
      <c r="H19" s="48"/>
      <c r="I19" s="39" t="s">
        <v>85</v>
      </c>
      <c r="J19" s="8"/>
      <c r="K19" s="8"/>
      <c r="L19" s="101">
        <f>OFICIAL!G14</f>
        <v>0</v>
      </c>
      <c r="M19" s="101">
        <f>OFICIAL!G14</f>
        <v>0</v>
      </c>
      <c r="N19" s="101">
        <f>OFICIAL!H14</f>
        <v>0</v>
      </c>
      <c r="O19" s="101" t="str">
        <f>OFICIAL!I14</f>
        <v>Gales</v>
      </c>
      <c r="P19" s="8"/>
      <c r="Q19" s="20">
        <f t="shared" si="3"/>
        <v>1</v>
      </c>
      <c r="R19" s="20">
        <f t="shared" si="4"/>
        <v>3</v>
      </c>
      <c r="S19" s="20">
        <f t="shared" si="5"/>
        <v>4</v>
      </c>
      <c r="V19" s="7"/>
    </row>
    <row r="20" spans="1:22" ht="12.75" customHeight="1" x14ac:dyDescent="0.2">
      <c r="A20" s="8">
        <v>17</v>
      </c>
      <c r="B20" s="44">
        <v>44890</v>
      </c>
      <c r="C20" s="45"/>
      <c r="D20" s="94" t="s">
        <v>93</v>
      </c>
      <c r="E20" s="95"/>
      <c r="F20" s="96"/>
      <c r="G20" s="48"/>
      <c r="H20" s="48"/>
      <c r="I20" s="39" t="s">
        <v>84</v>
      </c>
      <c r="J20" s="8"/>
      <c r="K20" s="8"/>
      <c r="L20" s="101">
        <f>OFICIAL!G15</f>
        <v>0</v>
      </c>
      <c r="M20" s="101">
        <f>OFICIAL!G15</f>
        <v>0</v>
      </c>
      <c r="N20" s="101">
        <f>OFICIAL!H15</f>
        <v>0</v>
      </c>
      <c r="O20" s="101" t="str">
        <f>OFICIAL!I15</f>
        <v>Irán</v>
      </c>
      <c r="P20" s="8"/>
      <c r="Q20" s="20">
        <f t="shared" si="3"/>
        <v>1</v>
      </c>
      <c r="R20" s="20">
        <f t="shared" si="4"/>
        <v>3</v>
      </c>
      <c r="S20" s="20">
        <f t="shared" si="5"/>
        <v>4</v>
      </c>
      <c r="V20" s="7"/>
    </row>
    <row r="21" spans="1:22" ht="12.75" customHeight="1" x14ac:dyDescent="0.2">
      <c r="A21" s="8">
        <v>20</v>
      </c>
      <c r="B21" s="44">
        <v>44890</v>
      </c>
      <c r="C21" s="45"/>
      <c r="D21" s="94" t="s">
        <v>9</v>
      </c>
      <c r="E21" s="95"/>
      <c r="F21" s="96"/>
      <c r="G21" s="48"/>
      <c r="H21" s="48"/>
      <c r="I21" s="39" t="s">
        <v>24</v>
      </c>
      <c r="J21" s="8"/>
      <c r="K21" s="8"/>
      <c r="L21" s="101">
        <f>OFICIAL!G16</f>
        <v>0</v>
      </c>
      <c r="M21" s="101">
        <f>OFICIAL!G16</f>
        <v>0</v>
      </c>
      <c r="N21" s="101">
        <f>OFICIAL!H16</f>
        <v>0</v>
      </c>
      <c r="O21" s="101" t="str">
        <f>OFICIAL!I16</f>
        <v>USA</v>
      </c>
      <c r="P21" s="8"/>
      <c r="Q21" s="20">
        <f t="shared" si="3"/>
        <v>1</v>
      </c>
      <c r="R21" s="20">
        <f t="shared" si="4"/>
        <v>3</v>
      </c>
      <c r="S21" s="20">
        <f t="shared" si="5"/>
        <v>4</v>
      </c>
      <c r="V21" s="7"/>
    </row>
    <row r="22" spans="1:22" ht="12.75" customHeight="1" x14ac:dyDescent="0.2">
      <c r="A22" s="8">
        <v>35</v>
      </c>
      <c r="B22" s="44">
        <v>44894</v>
      </c>
      <c r="C22" s="45"/>
      <c r="D22" s="94" t="s">
        <v>93</v>
      </c>
      <c r="E22" s="95"/>
      <c r="F22" s="96"/>
      <c r="G22" s="48"/>
      <c r="H22" s="48"/>
      <c r="I22" s="39" t="s">
        <v>9</v>
      </c>
      <c r="J22" s="8"/>
      <c r="K22" s="8"/>
      <c r="L22" s="101">
        <f>OFICIAL!G17</f>
        <v>0</v>
      </c>
      <c r="M22" s="101">
        <f>OFICIAL!G17</f>
        <v>0</v>
      </c>
      <c r="N22" s="101">
        <f>OFICIAL!H17</f>
        <v>0</v>
      </c>
      <c r="O22" s="101" t="str">
        <f>OFICIAL!I17</f>
        <v>Inglaterra</v>
      </c>
      <c r="P22" s="8"/>
      <c r="Q22" s="20">
        <f t="shared" si="3"/>
        <v>1</v>
      </c>
      <c r="R22" s="20">
        <f t="shared" si="4"/>
        <v>3</v>
      </c>
      <c r="S22" s="20">
        <f t="shared" si="5"/>
        <v>4</v>
      </c>
      <c r="V22" s="7"/>
    </row>
    <row r="23" spans="1:22" ht="12.75" customHeight="1" x14ac:dyDescent="0.2">
      <c r="A23" s="8">
        <v>36</v>
      </c>
      <c r="B23" s="44">
        <v>44894</v>
      </c>
      <c r="C23" s="45"/>
      <c r="D23" s="94" t="s">
        <v>84</v>
      </c>
      <c r="E23" s="95"/>
      <c r="F23" s="96"/>
      <c r="G23" s="48"/>
      <c r="H23" s="48"/>
      <c r="I23" s="39" t="s">
        <v>24</v>
      </c>
      <c r="J23" s="8"/>
      <c r="K23" s="8"/>
      <c r="L23" s="101">
        <f>OFICIAL!G18</f>
        <v>0</v>
      </c>
      <c r="M23" s="101">
        <f>OFICIAL!G18</f>
        <v>0</v>
      </c>
      <c r="N23" s="101">
        <f>OFICIAL!H18</f>
        <v>0</v>
      </c>
      <c r="O23" s="101" t="str">
        <f>OFICIAL!I18</f>
        <v>USA</v>
      </c>
      <c r="P23" s="8"/>
      <c r="Q23" s="20">
        <f t="shared" si="3"/>
        <v>1</v>
      </c>
      <c r="R23" s="20">
        <f t="shared" si="4"/>
        <v>3</v>
      </c>
      <c r="S23" s="20">
        <f t="shared" si="5"/>
        <v>4</v>
      </c>
      <c r="V23" s="7"/>
    </row>
    <row r="24" spans="1:22" ht="12.75" customHeight="1" x14ac:dyDescent="0.2">
      <c r="A24" s="1" t="s">
        <v>8</v>
      </c>
      <c r="B24" s="1"/>
      <c r="D24" s="97"/>
      <c r="E24" s="97"/>
      <c r="F24" s="97"/>
      <c r="G24" s="1"/>
      <c r="H24" s="1"/>
      <c r="J24" s="1"/>
      <c r="K24" s="1"/>
      <c r="L24" s="109"/>
      <c r="M24" s="109"/>
      <c r="N24" s="110"/>
      <c r="O24" s="110"/>
      <c r="P24" s="1"/>
      <c r="V24" s="7"/>
    </row>
    <row r="25" spans="1:22" ht="12.75" customHeight="1" x14ac:dyDescent="0.2">
      <c r="A25" s="8">
        <v>5</v>
      </c>
      <c r="B25" s="44">
        <v>44887</v>
      </c>
      <c r="C25" s="45"/>
      <c r="D25" s="111" t="s">
        <v>7</v>
      </c>
      <c r="E25" s="112"/>
      <c r="F25" s="113"/>
      <c r="G25" s="48"/>
      <c r="H25" s="48"/>
      <c r="I25" s="39" t="s">
        <v>86</v>
      </c>
      <c r="J25" s="8"/>
      <c r="K25" s="8"/>
      <c r="L25" s="101">
        <f>OFICIAL!G20</f>
        <v>0</v>
      </c>
      <c r="M25" s="101">
        <f>OFICIAL!G20</f>
        <v>0</v>
      </c>
      <c r="N25" s="101">
        <f>OFICIAL!H20</f>
        <v>0</v>
      </c>
      <c r="O25" s="101" t="str">
        <f>OFICIAL!I20</f>
        <v>Arabia Saudí</v>
      </c>
      <c r="P25" s="8"/>
      <c r="Q25" s="20">
        <f t="shared" ref="Q25:Q30" si="6">IF(AND(OR(AND(G25-H25&gt;0,L25-N25&gt;0),AND(G25-H25&lt;0,L25-N25&lt;0),AND(G25-H25=0,L25-N25=0)),L25&gt;-1,N25&gt;-1),1,0)</f>
        <v>1</v>
      </c>
      <c r="R25" s="20">
        <f t="shared" ref="R25:R30" si="7">IF(AND(G25=L25,H25=N25,L25&gt;-1,G25&gt;-1),3,0)</f>
        <v>3</v>
      </c>
      <c r="S25" s="20">
        <f t="shared" ref="S25:S30" si="8">Q25+R25</f>
        <v>4</v>
      </c>
      <c r="V25" s="7"/>
    </row>
    <row r="26" spans="1:22" ht="12.75" customHeight="1" x14ac:dyDescent="0.2">
      <c r="A26" s="8">
        <v>7</v>
      </c>
      <c r="B26" s="44">
        <v>44887</v>
      </c>
      <c r="C26" s="45"/>
      <c r="D26" s="111" t="s">
        <v>3</v>
      </c>
      <c r="E26" s="112"/>
      <c r="F26" s="113"/>
      <c r="G26" s="48"/>
      <c r="H26" s="48"/>
      <c r="I26" s="39" t="s">
        <v>87</v>
      </c>
      <c r="J26" s="8"/>
      <c r="K26" s="8"/>
      <c r="L26" s="101">
        <f>OFICIAL!G21</f>
        <v>0</v>
      </c>
      <c r="M26" s="101">
        <f>OFICIAL!G21</f>
        <v>0</v>
      </c>
      <c r="N26" s="101">
        <f>OFICIAL!H21</f>
        <v>0</v>
      </c>
      <c r="O26" s="101" t="str">
        <f>OFICIAL!I21</f>
        <v>Polonia</v>
      </c>
      <c r="P26" s="8"/>
      <c r="Q26" s="20">
        <f t="shared" si="6"/>
        <v>1</v>
      </c>
      <c r="R26" s="20">
        <f t="shared" si="7"/>
        <v>3</v>
      </c>
      <c r="S26" s="20">
        <f t="shared" si="8"/>
        <v>4</v>
      </c>
      <c r="V26" s="7"/>
    </row>
    <row r="27" spans="1:22" ht="12.75" customHeight="1" x14ac:dyDescent="0.2">
      <c r="A27" s="8">
        <v>22</v>
      </c>
      <c r="B27" s="44">
        <v>44891</v>
      </c>
      <c r="C27" s="45"/>
      <c r="D27" s="111" t="s">
        <v>87</v>
      </c>
      <c r="E27" s="112"/>
      <c r="F27" s="113"/>
      <c r="G27" s="48"/>
      <c r="H27" s="48"/>
      <c r="I27" s="39" t="s">
        <v>86</v>
      </c>
      <c r="J27" s="8"/>
      <c r="K27" s="8"/>
      <c r="L27" s="101">
        <f>OFICIAL!G22</f>
        <v>0</v>
      </c>
      <c r="M27" s="101">
        <f>OFICIAL!G22</f>
        <v>0</v>
      </c>
      <c r="N27" s="101">
        <f>OFICIAL!H22</f>
        <v>0</v>
      </c>
      <c r="O27" s="101" t="str">
        <f>OFICIAL!I22</f>
        <v>Arabia Saudí</v>
      </c>
      <c r="P27" s="8"/>
      <c r="Q27" s="20">
        <f t="shared" si="6"/>
        <v>1</v>
      </c>
      <c r="R27" s="20">
        <f t="shared" si="7"/>
        <v>3</v>
      </c>
      <c r="S27" s="20">
        <f t="shared" si="8"/>
        <v>4</v>
      </c>
      <c r="V27" s="7"/>
    </row>
    <row r="28" spans="1:22" ht="12.75" customHeight="1" x14ac:dyDescent="0.2">
      <c r="A28" s="8">
        <v>24</v>
      </c>
      <c r="B28" s="44">
        <v>44891</v>
      </c>
      <c r="C28" s="45"/>
      <c r="D28" s="111" t="s">
        <v>7</v>
      </c>
      <c r="E28" s="112"/>
      <c r="F28" s="113"/>
      <c r="G28" s="48"/>
      <c r="H28" s="48"/>
      <c r="I28" s="39" t="s">
        <v>3</v>
      </c>
      <c r="J28" s="8"/>
      <c r="K28" s="8"/>
      <c r="L28" s="101">
        <f>OFICIAL!G23</f>
        <v>0</v>
      </c>
      <c r="M28" s="101">
        <f>OFICIAL!G23</f>
        <v>0</v>
      </c>
      <c r="N28" s="101">
        <f>OFICIAL!H23</f>
        <v>0</v>
      </c>
      <c r="O28" s="101" t="str">
        <f>OFICIAL!I23</f>
        <v>México</v>
      </c>
      <c r="P28" s="8"/>
      <c r="Q28" s="20">
        <f t="shared" si="6"/>
        <v>1</v>
      </c>
      <c r="R28" s="20">
        <f t="shared" si="7"/>
        <v>3</v>
      </c>
      <c r="S28" s="20">
        <f t="shared" si="8"/>
        <v>4</v>
      </c>
      <c r="V28" s="7"/>
    </row>
    <row r="29" spans="1:22" ht="12.75" customHeight="1" x14ac:dyDescent="0.2">
      <c r="A29" s="8">
        <v>39</v>
      </c>
      <c r="B29" s="44">
        <v>44895</v>
      </c>
      <c r="C29" s="45"/>
      <c r="D29" s="111" t="s">
        <v>86</v>
      </c>
      <c r="E29" s="112"/>
      <c r="F29" s="113"/>
      <c r="G29" s="48"/>
      <c r="H29" s="48"/>
      <c r="I29" s="39" t="s">
        <v>3</v>
      </c>
      <c r="J29" s="8"/>
      <c r="K29" s="8"/>
      <c r="L29" s="101">
        <f>OFICIAL!G24</f>
        <v>0</v>
      </c>
      <c r="M29" s="101">
        <f>OFICIAL!G24</f>
        <v>0</v>
      </c>
      <c r="N29" s="101">
        <f>OFICIAL!H24</f>
        <v>0</v>
      </c>
      <c r="O29" s="101" t="str">
        <f>OFICIAL!I24</f>
        <v>México</v>
      </c>
      <c r="P29" s="8"/>
      <c r="Q29" s="20">
        <f t="shared" si="6"/>
        <v>1</v>
      </c>
      <c r="R29" s="20">
        <f t="shared" si="7"/>
        <v>3</v>
      </c>
      <c r="S29" s="20">
        <f t="shared" si="8"/>
        <v>4</v>
      </c>
      <c r="V29" s="7"/>
    </row>
    <row r="30" spans="1:22" ht="12.75" customHeight="1" x14ac:dyDescent="0.2">
      <c r="A30" s="8">
        <v>40</v>
      </c>
      <c r="B30" s="44">
        <v>44895</v>
      </c>
      <c r="C30" s="45"/>
      <c r="D30" s="111" t="s">
        <v>87</v>
      </c>
      <c r="E30" s="112"/>
      <c r="F30" s="113"/>
      <c r="G30" s="48"/>
      <c r="H30" s="48"/>
      <c r="I30" s="39" t="s">
        <v>7</v>
      </c>
      <c r="J30" s="8"/>
      <c r="K30" s="8"/>
      <c r="L30" s="101">
        <f>OFICIAL!G25</f>
        <v>0</v>
      </c>
      <c r="M30" s="101">
        <f>OFICIAL!G25</f>
        <v>0</v>
      </c>
      <c r="N30" s="101">
        <f>OFICIAL!H25</f>
        <v>0</v>
      </c>
      <c r="O30" s="101" t="str">
        <f>OFICIAL!I25</f>
        <v>Argentina</v>
      </c>
      <c r="P30" s="8"/>
      <c r="Q30" s="20">
        <f t="shared" si="6"/>
        <v>1</v>
      </c>
      <c r="R30" s="20">
        <f t="shared" si="7"/>
        <v>3</v>
      </c>
      <c r="S30" s="20">
        <f t="shared" si="8"/>
        <v>4</v>
      </c>
      <c r="V30" s="7"/>
    </row>
    <row r="31" spans="1:22" ht="12.75" customHeight="1" x14ac:dyDescent="0.2">
      <c r="A31" s="1" t="s">
        <v>10</v>
      </c>
      <c r="B31" s="1"/>
      <c r="D31" s="97"/>
      <c r="E31" s="97"/>
      <c r="F31" s="97"/>
      <c r="G31" s="1"/>
      <c r="H31" s="1"/>
      <c r="J31" s="1"/>
      <c r="K31" s="1"/>
      <c r="L31" s="109"/>
      <c r="M31" s="109"/>
      <c r="N31" s="110"/>
      <c r="O31" s="110"/>
      <c r="P31" s="1"/>
      <c r="V31" s="7"/>
    </row>
    <row r="32" spans="1:22" ht="12.75" customHeight="1" x14ac:dyDescent="0.2">
      <c r="A32" s="8">
        <v>6</v>
      </c>
      <c r="B32" s="44">
        <v>44887</v>
      </c>
      <c r="C32" s="45"/>
      <c r="D32" s="94" t="s">
        <v>79</v>
      </c>
      <c r="E32" s="95"/>
      <c r="F32" s="96"/>
      <c r="G32" s="48"/>
      <c r="H32" s="48"/>
      <c r="I32" s="39" t="s">
        <v>88</v>
      </c>
      <c r="J32" s="8"/>
      <c r="K32" s="8"/>
      <c r="L32" s="101">
        <f>OFICIAL!G27</f>
        <v>0</v>
      </c>
      <c r="M32" s="101">
        <f>OFICIAL!G27</f>
        <v>0</v>
      </c>
      <c r="N32" s="101">
        <f>OFICIAL!H27</f>
        <v>0</v>
      </c>
      <c r="O32" s="101" t="str">
        <f>OFICIAL!I27</f>
        <v>Túnez</v>
      </c>
      <c r="P32" s="8"/>
      <c r="Q32" s="20">
        <f t="shared" ref="Q32:Q37" si="9">IF(AND(OR(AND(G32-H32&gt;0,L32-N32&gt;0),AND(G32-H32&lt;0,L32-N32&lt;0),AND(G32-H32=0,L32-N32=0)),L32&gt;-1,N32&gt;-1),1,0)</f>
        <v>1</v>
      </c>
      <c r="R32" s="20">
        <f t="shared" ref="R32:R37" si="10">IF(AND(G32=L32,H32=N32,L32&gt;-1,G32&gt;-1),3,0)</f>
        <v>3</v>
      </c>
      <c r="S32" s="20">
        <f t="shared" ref="S32:S37" si="11">Q32+R32</f>
        <v>4</v>
      </c>
      <c r="V32" s="7"/>
    </row>
    <row r="33" spans="1:22" ht="12.75" customHeight="1" x14ac:dyDescent="0.2">
      <c r="A33" s="8">
        <v>8</v>
      </c>
      <c r="B33" s="44">
        <v>44887</v>
      </c>
      <c r="C33" s="45"/>
      <c r="D33" s="94" t="s">
        <v>5</v>
      </c>
      <c r="E33" s="95"/>
      <c r="F33" s="96"/>
      <c r="G33" s="48"/>
      <c r="H33" s="48"/>
      <c r="I33" s="39" t="s">
        <v>12</v>
      </c>
      <c r="J33" s="8"/>
      <c r="K33" s="8"/>
      <c r="L33" s="101">
        <f>OFICIAL!G28</f>
        <v>0</v>
      </c>
      <c r="M33" s="101">
        <f>OFICIAL!G28</f>
        <v>0</v>
      </c>
      <c r="N33" s="101">
        <f>OFICIAL!H28</f>
        <v>0</v>
      </c>
      <c r="O33" s="101" t="str">
        <f>OFICIAL!I28</f>
        <v>Australia</v>
      </c>
      <c r="P33" s="8"/>
      <c r="Q33" s="20">
        <f t="shared" si="9"/>
        <v>1</v>
      </c>
      <c r="R33" s="20">
        <f t="shared" si="10"/>
        <v>3</v>
      </c>
      <c r="S33" s="20">
        <f t="shared" si="11"/>
        <v>4</v>
      </c>
      <c r="V33" s="7"/>
    </row>
    <row r="34" spans="1:22" ht="12.75" customHeight="1" x14ac:dyDescent="0.2">
      <c r="A34" s="8">
        <v>21</v>
      </c>
      <c r="B34" s="44">
        <v>44891</v>
      </c>
      <c r="C34" s="2"/>
      <c r="D34" s="94" t="s">
        <v>88</v>
      </c>
      <c r="E34" s="95"/>
      <c r="F34" s="96"/>
      <c r="G34" s="48"/>
      <c r="H34" s="48"/>
      <c r="I34" s="39" t="s">
        <v>12</v>
      </c>
      <c r="J34" s="8"/>
      <c r="K34" s="8"/>
      <c r="L34" s="101">
        <f>OFICIAL!G29</f>
        <v>0</v>
      </c>
      <c r="M34" s="101">
        <f>OFICIAL!G29</f>
        <v>0</v>
      </c>
      <c r="N34" s="101">
        <f>OFICIAL!H29</f>
        <v>0</v>
      </c>
      <c r="O34" s="101" t="str">
        <f>OFICIAL!I29</f>
        <v>Australia</v>
      </c>
      <c r="P34" s="8"/>
      <c r="Q34" s="20">
        <f t="shared" si="9"/>
        <v>1</v>
      </c>
      <c r="R34" s="20">
        <f t="shared" si="10"/>
        <v>3</v>
      </c>
      <c r="S34" s="20">
        <f t="shared" si="11"/>
        <v>4</v>
      </c>
      <c r="V34" s="7"/>
    </row>
    <row r="35" spans="1:22" ht="12.75" customHeight="1" x14ac:dyDescent="0.2">
      <c r="A35" s="8">
        <v>23</v>
      </c>
      <c r="B35" s="44">
        <v>44891</v>
      </c>
      <c r="C35" s="2"/>
      <c r="D35" s="94" t="s">
        <v>5</v>
      </c>
      <c r="E35" s="95"/>
      <c r="F35" s="96"/>
      <c r="G35" s="48"/>
      <c r="H35" s="48"/>
      <c r="I35" s="39" t="s">
        <v>79</v>
      </c>
      <c r="J35" s="8"/>
      <c r="K35" s="8"/>
      <c r="L35" s="101">
        <f>OFICIAL!G30</f>
        <v>0</v>
      </c>
      <c r="M35" s="101">
        <f>OFICIAL!G30</f>
        <v>0</v>
      </c>
      <c r="N35" s="101">
        <f>OFICIAL!H30</f>
        <v>0</v>
      </c>
      <c r="O35" s="101" t="str">
        <f>OFICIAL!I30</f>
        <v>Dinamarca</v>
      </c>
      <c r="P35" s="8"/>
      <c r="Q35" s="20">
        <f t="shared" si="9"/>
        <v>1</v>
      </c>
      <c r="R35" s="20">
        <f t="shared" si="10"/>
        <v>3</v>
      </c>
      <c r="S35" s="20">
        <f t="shared" si="11"/>
        <v>4</v>
      </c>
      <c r="V35" s="7"/>
    </row>
    <row r="36" spans="1:22" ht="12.75" customHeight="1" x14ac:dyDescent="0.2">
      <c r="A36" s="8">
        <v>37</v>
      </c>
      <c r="B36" s="44">
        <v>44895</v>
      </c>
      <c r="C36" s="2"/>
      <c r="D36" s="94" t="s">
        <v>88</v>
      </c>
      <c r="E36" s="95"/>
      <c r="F36" s="96"/>
      <c r="G36" s="48"/>
      <c r="H36" s="48"/>
      <c r="I36" s="39" t="s">
        <v>5</v>
      </c>
      <c r="J36" s="8"/>
      <c r="K36" s="8"/>
      <c r="L36" s="101">
        <f>OFICIAL!G31</f>
        <v>0</v>
      </c>
      <c r="M36" s="101">
        <f>OFICIAL!G31</f>
        <v>0</v>
      </c>
      <c r="N36" s="101">
        <f>OFICIAL!H31</f>
        <v>0</v>
      </c>
      <c r="O36" s="101" t="str">
        <f>OFICIAL!I31</f>
        <v>Francia</v>
      </c>
      <c r="P36" s="8"/>
      <c r="Q36" s="20">
        <f t="shared" si="9"/>
        <v>1</v>
      </c>
      <c r="R36" s="20">
        <f t="shared" si="10"/>
        <v>3</v>
      </c>
      <c r="S36" s="20">
        <f t="shared" si="11"/>
        <v>4</v>
      </c>
    </row>
    <row r="37" spans="1:22" ht="12.75" customHeight="1" x14ac:dyDescent="0.2">
      <c r="A37" s="8">
        <v>38</v>
      </c>
      <c r="B37" s="44">
        <v>44895</v>
      </c>
      <c r="C37" s="2"/>
      <c r="D37" s="94" t="s">
        <v>12</v>
      </c>
      <c r="E37" s="95"/>
      <c r="F37" s="96"/>
      <c r="G37" s="48"/>
      <c r="H37" s="48"/>
      <c r="I37" s="39" t="s">
        <v>79</v>
      </c>
      <c r="J37" s="8"/>
      <c r="K37" s="8"/>
      <c r="L37" s="101">
        <f>OFICIAL!G32</f>
        <v>0</v>
      </c>
      <c r="M37" s="101">
        <f>OFICIAL!G32</f>
        <v>0</v>
      </c>
      <c r="N37" s="101">
        <f>OFICIAL!H32</f>
        <v>0</v>
      </c>
      <c r="O37" s="101" t="str">
        <f>OFICIAL!I32</f>
        <v>Dinamarca</v>
      </c>
      <c r="P37" s="8"/>
      <c r="Q37" s="20">
        <f t="shared" si="9"/>
        <v>1</v>
      </c>
      <c r="R37" s="20">
        <f t="shared" si="10"/>
        <v>3</v>
      </c>
      <c r="S37" s="20">
        <f t="shared" si="11"/>
        <v>4</v>
      </c>
    </row>
    <row r="38" spans="1:22" ht="12.75" customHeight="1" x14ac:dyDescent="0.2">
      <c r="A38" s="1" t="s">
        <v>14</v>
      </c>
      <c r="B38" s="44"/>
      <c r="D38" s="97"/>
      <c r="E38" s="97"/>
      <c r="F38" s="97"/>
      <c r="G38" s="1"/>
      <c r="H38" s="1"/>
      <c r="J38" s="1"/>
      <c r="K38" s="1"/>
      <c r="L38" s="109"/>
      <c r="M38" s="109"/>
      <c r="N38" s="110"/>
      <c r="O38" s="110"/>
      <c r="P38" s="1"/>
    </row>
    <row r="39" spans="1:22" ht="12.75" customHeight="1" x14ac:dyDescent="0.2">
      <c r="A39" s="8">
        <v>10</v>
      </c>
      <c r="B39" s="44">
        <v>44888</v>
      </c>
      <c r="C39" s="2"/>
      <c r="D39" s="111" t="s">
        <v>11</v>
      </c>
      <c r="E39" s="112"/>
      <c r="F39" s="113"/>
      <c r="G39" s="48"/>
      <c r="H39" s="48"/>
      <c r="I39" s="39" t="s">
        <v>15</v>
      </c>
      <c r="J39" s="8"/>
      <c r="K39" s="8"/>
      <c r="L39" s="101">
        <f>OFICIAL!G34</f>
        <v>0</v>
      </c>
      <c r="M39" s="101">
        <f>OFICIAL!G34</f>
        <v>0</v>
      </c>
      <c r="N39" s="101">
        <f>OFICIAL!H34</f>
        <v>0</v>
      </c>
      <c r="O39" s="101" t="str">
        <f>OFICIAL!I34</f>
        <v>Japón</v>
      </c>
      <c r="P39" s="8"/>
      <c r="Q39" s="20">
        <f t="shared" ref="Q39:Q44" si="12">IF(AND(OR(AND(G39-H39&gt;0,L39-N39&gt;0),AND(G39-H39&lt;0,L39-N39&lt;0),AND(G39-H39=0,L39-N39=0)),L39&gt;-1,N39&gt;-1),1,0)</f>
        <v>1</v>
      </c>
      <c r="R39" s="20">
        <f t="shared" ref="R39:R44" si="13">IF(AND(G39=L39,H39=N39,L39&gt;-1,G39&gt;-1),3,0)</f>
        <v>3</v>
      </c>
      <c r="S39" s="20">
        <f t="shared" ref="S39:S44" si="14">Q39+R39</f>
        <v>4</v>
      </c>
      <c r="V39" s="7"/>
    </row>
    <row r="40" spans="1:22" ht="12.75" customHeight="1" x14ac:dyDescent="0.2">
      <c r="A40" s="8">
        <v>11</v>
      </c>
      <c r="B40" s="44">
        <v>44888</v>
      </c>
      <c r="C40" s="2"/>
      <c r="D40" s="111" t="s">
        <v>22</v>
      </c>
      <c r="E40" s="112"/>
      <c r="F40" s="113"/>
      <c r="G40" s="48"/>
      <c r="H40" s="48"/>
      <c r="I40" s="39" t="s">
        <v>75</v>
      </c>
      <c r="J40" s="8"/>
      <c r="K40" s="8"/>
      <c r="L40" s="101">
        <f>OFICIAL!G35</f>
        <v>0</v>
      </c>
      <c r="M40" s="101">
        <f>OFICIAL!G35</f>
        <v>0</v>
      </c>
      <c r="N40" s="101">
        <f>OFICIAL!H35</f>
        <v>0</v>
      </c>
      <c r="O40" s="101" t="str">
        <f>OFICIAL!I35</f>
        <v>Costa Rica</v>
      </c>
      <c r="P40" s="8"/>
      <c r="Q40" s="20">
        <f t="shared" si="12"/>
        <v>1</v>
      </c>
      <c r="R40" s="20">
        <f t="shared" si="13"/>
        <v>3</v>
      </c>
      <c r="S40" s="20">
        <f t="shared" si="14"/>
        <v>4</v>
      </c>
      <c r="V40" s="7"/>
    </row>
    <row r="41" spans="1:22" ht="12.75" customHeight="1" x14ac:dyDescent="0.2">
      <c r="A41" s="8">
        <v>25</v>
      </c>
      <c r="B41" s="44">
        <v>44892</v>
      </c>
      <c r="C41" s="2"/>
      <c r="D41" s="111" t="s">
        <v>15</v>
      </c>
      <c r="E41" s="112"/>
      <c r="F41" s="113"/>
      <c r="G41" s="48"/>
      <c r="H41" s="48"/>
      <c r="I41" s="39" t="s">
        <v>75</v>
      </c>
      <c r="J41" s="8"/>
      <c r="K41" s="8"/>
      <c r="L41" s="101">
        <f>OFICIAL!G36</f>
        <v>0</v>
      </c>
      <c r="M41" s="101">
        <f>OFICIAL!G36</f>
        <v>0</v>
      </c>
      <c r="N41" s="101">
        <f>OFICIAL!H36</f>
        <v>0</v>
      </c>
      <c r="O41" s="101" t="str">
        <f>OFICIAL!I36</f>
        <v>Costa Rica</v>
      </c>
      <c r="P41" s="8"/>
      <c r="Q41" s="20">
        <f t="shared" si="12"/>
        <v>1</v>
      </c>
      <c r="R41" s="20">
        <f t="shared" si="13"/>
        <v>3</v>
      </c>
      <c r="S41" s="20">
        <f t="shared" si="14"/>
        <v>4</v>
      </c>
      <c r="V41" s="7"/>
    </row>
    <row r="42" spans="1:22" ht="12.75" customHeight="1" x14ac:dyDescent="0.2">
      <c r="A42" s="8">
        <v>28</v>
      </c>
      <c r="B42" s="44">
        <v>44892</v>
      </c>
      <c r="C42" s="2"/>
      <c r="D42" s="111" t="s">
        <v>22</v>
      </c>
      <c r="E42" s="112"/>
      <c r="F42" s="113"/>
      <c r="G42" s="48"/>
      <c r="H42" s="48"/>
      <c r="I42" s="39" t="s">
        <v>11</v>
      </c>
      <c r="J42" s="8"/>
      <c r="K42" s="8"/>
      <c r="L42" s="101">
        <f>OFICIAL!G37</f>
        <v>0</v>
      </c>
      <c r="M42" s="101">
        <f>OFICIAL!G37</f>
        <v>0</v>
      </c>
      <c r="N42" s="101">
        <f>OFICIAL!H37</f>
        <v>0</v>
      </c>
      <c r="O42" s="101" t="str">
        <f>OFICIAL!I37</f>
        <v>Alemania</v>
      </c>
      <c r="P42" s="8"/>
      <c r="Q42" s="20">
        <f t="shared" si="12"/>
        <v>1</v>
      </c>
      <c r="R42" s="20">
        <f t="shared" si="13"/>
        <v>3</v>
      </c>
      <c r="S42" s="20">
        <f t="shared" si="14"/>
        <v>4</v>
      </c>
      <c r="V42" s="7"/>
    </row>
    <row r="43" spans="1:22" ht="12.75" customHeight="1" x14ac:dyDescent="0.2">
      <c r="A43" s="8">
        <v>43</v>
      </c>
      <c r="B43" s="44">
        <v>44896</v>
      </c>
      <c r="C43" s="2"/>
      <c r="D43" s="111" t="s">
        <v>15</v>
      </c>
      <c r="E43" s="112"/>
      <c r="F43" s="113"/>
      <c r="G43" s="48"/>
      <c r="H43" s="48"/>
      <c r="I43" s="39" t="s">
        <v>22</v>
      </c>
      <c r="J43" s="8"/>
      <c r="K43" s="8"/>
      <c r="L43" s="101">
        <f>OFICIAL!G38</f>
        <v>0</v>
      </c>
      <c r="M43" s="101">
        <f>OFICIAL!G38</f>
        <v>0</v>
      </c>
      <c r="N43" s="101">
        <f>OFICIAL!H38</f>
        <v>0</v>
      </c>
      <c r="O43" s="101" t="str">
        <f>OFICIAL!I38</f>
        <v>España</v>
      </c>
      <c r="P43" s="8"/>
      <c r="Q43" s="20">
        <f t="shared" si="12"/>
        <v>1</v>
      </c>
      <c r="R43" s="20">
        <f t="shared" si="13"/>
        <v>3</v>
      </c>
      <c r="S43" s="20">
        <f t="shared" si="14"/>
        <v>4</v>
      </c>
      <c r="V43" s="7"/>
    </row>
    <row r="44" spans="1:22" ht="12.75" customHeight="1" x14ac:dyDescent="0.2">
      <c r="A44" s="8">
        <v>44</v>
      </c>
      <c r="B44" s="44">
        <v>44896</v>
      </c>
      <c r="C44" s="2"/>
      <c r="D44" s="111" t="s">
        <v>75</v>
      </c>
      <c r="E44" s="112"/>
      <c r="F44" s="113"/>
      <c r="G44" s="48"/>
      <c r="H44" s="48"/>
      <c r="I44" s="39" t="s">
        <v>11</v>
      </c>
      <c r="J44" s="8"/>
      <c r="K44" s="8"/>
      <c r="L44" s="101">
        <f>OFICIAL!G39</f>
        <v>0</v>
      </c>
      <c r="M44" s="101">
        <f>OFICIAL!G39</f>
        <v>0</v>
      </c>
      <c r="N44" s="101">
        <f>OFICIAL!H39</f>
        <v>0</v>
      </c>
      <c r="O44" s="101" t="str">
        <f>OFICIAL!I39</f>
        <v>Alemania</v>
      </c>
      <c r="P44" s="8"/>
      <c r="Q44" s="20">
        <f t="shared" si="12"/>
        <v>1</v>
      </c>
      <c r="R44" s="20">
        <f t="shared" si="13"/>
        <v>3</v>
      </c>
      <c r="S44" s="20">
        <f t="shared" si="14"/>
        <v>4</v>
      </c>
    </row>
    <row r="45" spans="1:22" ht="12.75" customHeight="1" x14ac:dyDescent="0.2">
      <c r="A45" s="1" t="s">
        <v>17</v>
      </c>
      <c r="B45" s="44"/>
      <c r="D45" s="97"/>
      <c r="E45" s="97"/>
      <c r="F45" s="97"/>
      <c r="G45" s="1"/>
      <c r="H45" s="1"/>
      <c r="J45" s="1"/>
      <c r="K45" s="1"/>
      <c r="L45" s="109"/>
      <c r="M45" s="109"/>
      <c r="N45" s="110"/>
      <c r="O45" s="110"/>
      <c r="P45" s="1"/>
    </row>
    <row r="46" spans="1:22" ht="12.75" customHeight="1" x14ac:dyDescent="0.2">
      <c r="A46" s="8">
        <v>9</v>
      </c>
      <c r="B46" s="44">
        <v>44888</v>
      </c>
      <c r="C46" s="2"/>
      <c r="D46" s="111" t="s">
        <v>90</v>
      </c>
      <c r="E46" s="112"/>
      <c r="F46" s="113"/>
      <c r="G46" s="48"/>
      <c r="H46" s="48"/>
      <c r="I46" s="39" t="s">
        <v>74</v>
      </c>
      <c r="J46" s="8"/>
      <c r="K46" s="8"/>
      <c r="L46" s="101">
        <f>OFICIAL!G41</f>
        <v>0</v>
      </c>
      <c r="M46" s="101">
        <f>OFICIAL!G41</f>
        <v>0</v>
      </c>
      <c r="N46" s="101">
        <f>OFICIAL!H41</f>
        <v>0</v>
      </c>
      <c r="O46" s="101" t="str">
        <f>OFICIAL!I41</f>
        <v>Croacia</v>
      </c>
      <c r="P46" s="8"/>
      <c r="Q46" s="20">
        <f t="shared" ref="Q46:Q51" si="15">IF(AND(OR(AND(G46-H46&gt;0,L46-N46&gt;0),AND(G46-H46&lt;0,L46-N46&lt;0),AND(G46-H46=0,L46-N46=0)),L46&gt;-1,N46&gt;-1),1,0)</f>
        <v>1</v>
      </c>
      <c r="R46" s="20">
        <f t="shared" ref="R46:R51" si="16">IF(AND(G46=L46,H46=N46,L46&gt;-1,G46&gt;-1),3,0)</f>
        <v>3</v>
      </c>
      <c r="S46" s="20">
        <f t="shared" ref="S46:S51" si="17">Q46+R46</f>
        <v>4</v>
      </c>
      <c r="V46" s="7"/>
    </row>
    <row r="47" spans="1:22" ht="12.75" customHeight="1" x14ac:dyDescent="0.2">
      <c r="A47" s="8">
        <v>12</v>
      </c>
      <c r="B47" s="44">
        <v>44888</v>
      </c>
      <c r="C47" s="2"/>
      <c r="D47" s="111" t="s">
        <v>77</v>
      </c>
      <c r="E47" s="112"/>
      <c r="F47" s="113"/>
      <c r="G47" s="48"/>
      <c r="H47" s="48"/>
      <c r="I47" s="39" t="s">
        <v>89</v>
      </c>
      <c r="J47" s="8"/>
      <c r="K47" s="8"/>
      <c r="L47" s="101">
        <f>OFICIAL!G42</f>
        <v>0</v>
      </c>
      <c r="M47" s="101">
        <f>OFICIAL!G42</f>
        <v>0</v>
      </c>
      <c r="N47" s="101">
        <f>OFICIAL!H42</f>
        <v>0</v>
      </c>
      <c r="O47" s="101" t="str">
        <f>OFICIAL!I42</f>
        <v>Canadá</v>
      </c>
      <c r="P47" s="8"/>
      <c r="Q47" s="20">
        <f t="shared" si="15"/>
        <v>1</v>
      </c>
      <c r="R47" s="20">
        <f t="shared" si="16"/>
        <v>3</v>
      </c>
      <c r="S47" s="20">
        <f t="shared" si="17"/>
        <v>4</v>
      </c>
      <c r="V47" s="7"/>
    </row>
    <row r="48" spans="1:22" ht="12.75" customHeight="1" x14ac:dyDescent="0.2">
      <c r="A48" s="8">
        <v>26</v>
      </c>
      <c r="B48" s="44">
        <v>44892</v>
      </c>
      <c r="C48" s="2"/>
      <c r="D48" s="111" t="s">
        <v>77</v>
      </c>
      <c r="E48" s="112"/>
      <c r="F48" s="113"/>
      <c r="G48" s="48"/>
      <c r="H48" s="48"/>
      <c r="I48" s="39" t="s">
        <v>90</v>
      </c>
      <c r="J48" s="8"/>
      <c r="K48" s="8"/>
      <c r="L48" s="101">
        <f>OFICIAL!G43</f>
        <v>0</v>
      </c>
      <c r="M48" s="101">
        <f>OFICIAL!G43</f>
        <v>0</v>
      </c>
      <c r="N48" s="101">
        <f>OFICIAL!H43</f>
        <v>0</v>
      </c>
      <c r="O48" s="101" t="str">
        <f>OFICIAL!I43</f>
        <v>Marruecos</v>
      </c>
      <c r="P48" s="8"/>
      <c r="Q48" s="20">
        <f t="shared" si="15"/>
        <v>1</v>
      </c>
      <c r="R48" s="20">
        <f t="shared" si="16"/>
        <v>3</v>
      </c>
      <c r="S48" s="20">
        <f t="shared" si="17"/>
        <v>4</v>
      </c>
      <c r="V48" s="7"/>
    </row>
    <row r="49" spans="1:22" ht="12.75" customHeight="1" x14ac:dyDescent="0.2">
      <c r="A49" s="8">
        <v>27</v>
      </c>
      <c r="B49" s="44">
        <v>44892</v>
      </c>
      <c r="C49" s="2"/>
      <c r="D49" s="111" t="s">
        <v>74</v>
      </c>
      <c r="E49" s="112"/>
      <c r="F49" s="113"/>
      <c r="G49" s="48"/>
      <c r="H49" s="48"/>
      <c r="I49" s="39" t="s">
        <v>89</v>
      </c>
      <c r="J49" s="8"/>
      <c r="K49" s="8"/>
      <c r="L49" s="101">
        <f>OFICIAL!G44</f>
        <v>0</v>
      </c>
      <c r="M49" s="101">
        <f>OFICIAL!G44</f>
        <v>0</v>
      </c>
      <c r="N49" s="101">
        <f>OFICIAL!H44</f>
        <v>0</v>
      </c>
      <c r="O49" s="101" t="str">
        <f>OFICIAL!I44</f>
        <v>Canadá</v>
      </c>
      <c r="P49" s="8"/>
      <c r="Q49" s="20">
        <f t="shared" si="15"/>
        <v>1</v>
      </c>
      <c r="R49" s="20">
        <f t="shared" si="16"/>
        <v>3</v>
      </c>
      <c r="S49" s="20">
        <f t="shared" si="17"/>
        <v>4</v>
      </c>
      <c r="V49" s="7"/>
    </row>
    <row r="50" spans="1:22" ht="12.75" customHeight="1" x14ac:dyDescent="0.2">
      <c r="A50" s="8">
        <v>41</v>
      </c>
      <c r="B50" s="44">
        <v>44896</v>
      </c>
      <c r="C50" s="2"/>
      <c r="D50" s="111" t="s">
        <v>74</v>
      </c>
      <c r="E50" s="112"/>
      <c r="F50" s="113"/>
      <c r="G50" s="48"/>
      <c r="H50" s="48"/>
      <c r="I50" s="39" t="s">
        <v>77</v>
      </c>
      <c r="J50" s="8"/>
      <c r="K50" s="8"/>
      <c r="L50" s="101">
        <f>OFICIAL!G45</f>
        <v>0</v>
      </c>
      <c r="M50" s="101">
        <f>OFICIAL!G45</f>
        <v>0</v>
      </c>
      <c r="N50" s="101">
        <f>OFICIAL!H45</f>
        <v>0</v>
      </c>
      <c r="O50" s="101" t="str">
        <f>OFICIAL!I45</f>
        <v>Bélgica</v>
      </c>
      <c r="P50" s="8"/>
      <c r="Q50" s="20">
        <f t="shared" si="15"/>
        <v>1</v>
      </c>
      <c r="R50" s="20">
        <f t="shared" si="16"/>
        <v>3</v>
      </c>
      <c r="S50" s="20">
        <f t="shared" si="17"/>
        <v>4</v>
      </c>
    </row>
    <row r="51" spans="1:22" ht="12.75" customHeight="1" x14ac:dyDescent="0.2">
      <c r="A51" s="8">
        <v>42</v>
      </c>
      <c r="B51" s="44">
        <v>44896</v>
      </c>
      <c r="C51" s="2"/>
      <c r="D51" s="111" t="s">
        <v>89</v>
      </c>
      <c r="E51" s="112"/>
      <c r="F51" s="113"/>
      <c r="G51" s="48"/>
      <c r="H51" s="48"/>
      <c r="I51" s="39" t="s">
        <v>90</v>
      </c>
      <c r="J51" s="8"/>
      <c r="K51" s="8"/>
      <c r="L51" s="101">
        <f>OFICIAL!G46</f>
        <v>0</v>
      </c>
      <c r="M51" s="101">
        <f>OFICIAL!G46</f>
        <v>0</v>
      </c>
      <c r="N51" s="101">
        <f>OFICIAL!H46</f>
        <v>0</v>
      </c>
      <c r="O51" s="101" t="str">
        <f>OFICIAL!I46</f>
        <v>Marruecos</v>
      </c>
      <c r="P51" s="8"/>
      <c r="Q51" s="20">
        <f t="shared" si="15"/>
        <v>1</v>
      </c>
      <c r="R51" s="20">
        <f t="shared" si="16"/>
        <v>3</v>
      </c>
      <c r="S51" s="20">
        <f t="shared" si="17"/>
        <v>4</v>
      </c>
    </row>
    <row r="52" spans="1:22" ht="12.75" customHeight="1" x14ac:dyDescent="0.2">
      <c r="A52" s="1" t="s">
        <v>18</v>
      </c>
      <c r="B52" s="44"/>
      <c r="D52" s="97"/>
      <c r="E52" s="97"/>
      <c r="F52" s="97"/>
      <c r="G52" s="1"/>
      <c r="H52" s="1"/>
      <c r="J52" s="1"/>
      <c r="K52" s="1"/>
      <c r="L52" s="109"/>
      <c r="M52" s="109"/>
      <c r="N52" s="110"/>
      <c r="O52" s="110"/>
      <c r="P52" s="1"/>
    </row>
    <row r="53" spans="1:22" ht="12.75" customHeight="1" x14ac:dyDescent="0.2">
      <c r="A53" s="8">
        <v>13</v>
      </c>
      <c r="B53" s="44">
        <v>44889</v>
      </c>
      <c r="C53" s="2"/>
      <c r="D53" s="111" t="s">
        <v>23</v>
      </c>
      <c r="E53" s="112"/>
      <c r="F53" s="113"/>
      <c r="G53" s="48"/>
      <c r="H53" s="48"/>
      <c r="I53" s="39" t="s">
        <v>16</v>
      </c>
      <c r="J53" s="8"/>
      <c r="K53" s="8"/>
      <c r="L53" s="101">
        <f>OFICIAL!G48</f>
        <v>0</v>
      </c>
      <c r="M53" s="101">
        <f>OFICIAL!G48</f>
        <v>0</v>
      </c>
      <c r="N53" s="101">
        <f>OFICIAL!H48</f>
        <v>0</v>
      </c>
      <c r="O53" s="101" t="str">
        <f>OFICIAL!I48</f>
        <v>Camerún</v>
      </c>
      <c r="P53" s="8"/>
      <c r="Q53" s="20">
        <f t="shared" ref="Q53:Q58" si="18">IF(AND(OR(AND(G53-H53&gt;0,L53-N53&gt;0),AND(G53-H53&lt;0,L53-N53&lt;0),AND(G53-H53=0,L53-N53=0)),L53&gt;-1,N53&gt;-1),1,0)</f>
        <v>1</v>
      </c>
      <c r="R53" s="20">
        <f t="shared" ref="R53:R58" si="19">IF(AND(G53=L53,H53=N53,L53&gt;-1,G53&gt;-1),3,0)</f>
        <v>3</v>
      </c>
      <c r="S53" s="20">
        <f t="shared" ref="S53:S58" si="20">Q53+R53</f>
        <v>4</v>
      </c>
      <c r="V53" s="7"/>
    </row>
    <row r="54" spans="1:22" ht="12.75" customHeight="1" x14ac:dyDescent="0.2">
      <c r="A54" s="8">
        <v>16</v>
      </c>
      <c r="B54" s="44">
        <v>44889</v>
      </c>
      <c r="C54" s="2"/>
      <c r="D54" s="111" t="s">
        <v>20</v>
      </c>
      <c r="E54" s="112"/>
      <c r="F54" s="113"/>
      <c r="G54" s="48"/>
      <c r="H54" s="48"/>
      <c r="I54" s="39" t="s">
        <v>80</v>
      </c>
      <c r="J54" s="8"/>
      <c r="K54" s="8"/>
      <c r="L54" s="101">
        <f>OFICIAL!G49</f>
        <v>0</v>
      </c>
      <c r="M54" s="101">
        <f>OFICIAL!G49</f>
        <v>0</v>
      </c>
      <c r="N54" s="101">
        <f>OFICIAL!H49</f>
        <v>0</v>
      </c>
      <c r="O54" s="101" t="str">
        <f>OFICIAL!I49</f>
        <v>Serbia</v>
      </c>
      <c r="P54" s="8"/>
      <c r="Q54" s="20">
        <f t="shared" si="18"/>
        <v>1</v>
      </c>
      <c r="R54" s="20">
        <f t="shared" si="19"/>
        <v>3</v>
      </c>
      <c r="S54" s="20">
        <f t="shared" si="20"/>
        <v>4</v>
      </c>
      <c r="V54" s="7"/>
    </row>
    <row r="55" spans="1:22" ht="12.75" customHeight="1" x14ac:dyDescent="0.2">
      <c r="A55" s="8">
        <v>29</v>
      </c>
      <c r="B55" s="44">
        <v>44893</v>
      </c>
      <c r="C55" s="2"/>
      <c r="D55" s="111" t="s">
        <v>16</v>
      </c>
      <c r="E55" s="112"/>
      <c r="F55" s="113"/>
      <c r="G55" s="48"/>
      <c r="H55" s="48"/>
      <c r="I55" s="39" t="s">
        <v>80</v>
      </c>
      <c r="J55" s="8"/>
      <c r="K55" s="8"/>
      <c r="L55" s="101">
        <f>OFICIAL!G50</f>
        <v>0</v>
      </c>
      <c r="M55" s="101">
        <f>OFICIAL!G50</f>
        <v>0</v>
      </c>
      <c r="N55" s="101">
        <f>OFICIAL!H50</f>
        <v>0</v>
      </c>
      <c r="O55" s="101" t="str">
        <f>OFICIAL!I50</f>
        <v>Serbia</v>
      </c>
      <c r="P55" s="8"/>
      <c r="Q55" s="20">
        <f t="shared" si="18"/>
        <v>1</v>
      </c>
      <c r="R55" s="20">
        <f t="shared" si="19"/>
        <v>3</v>
      </c>
      <c r="S55" s="20">
        <f t="shared" si="20"/>
        <v>4</v>
      </c>
      <c r="V55" s="7"/>
    </row>
    <row r="56" spans="1:22" ht="12.75" customHeight="1" x14ac:dyDescent="0.2">
      <c r="A56" s="8">
        <v>31</v>
      </c>
      <c r="B56" s="44">
        <v>44893</v>
      </c>
      <c r="C56" s="2"/>
      <c r="D56" s="111" t="s">
        <v>20</v>
      </c>
      <c r="E56" s="112"/>
      <c r="F56" s="113"/>
      <c r="G56" s="48"/>
      <c r="H56" s="48"/>
      <c r="I56" s="39" t="s">
        <v>23</v>
      </c>
      <c r="J56" s="8"/>
      <c r="K56" s="8"/>
      <c r="L56" s="101">
        <f>OFICIAL!G51</f>
        <v>0</v>
      </c>
      <c r="M56" s="101">
        <f>OFICIAL!G51</f>
        <v>0</v>
      </c>
      <c r="N56" s="101">
        <f>OFICIAL!H51</f>
        <v>0</v>
      </c>
      <c r="O56" s="101" t="str">
        <f>OFICIAL!I51</f>
        <v>Suiza</v>
      </c>
      <c r="P56" s="8"/>
      <c r="Q56" s="20">
        <f t="shared" si="18"/>
        <v>1</v>
      </c>
      <c r="R56" s="20">
        <f t="shared" si="19"/>
        <v>3</v>
      </c>
      <c r="S56" s="20">
        <f t="shared" si="20"/>
        <v>4</v>
      </c>
      <c r="V56" s="7"/>
    </row>
    <row r="57" spans="1:22" ht="12.75" customHeight="1" x14ac:dyDescent="0.2">
      <c r="A57" s="8">
        <v>47</v>
      </c>
      <c r="B57" s="44">
        <v>44897</v>
      </c>
      <c r="C57" s="2"/>
      <c r="D57" s="111" t="s">
        <v>80</v>
      </c>
      <c r="E57" s="112"/>
      <c r="F57" s="113"/>
      <c r="G57" s="48"/>
      <c r="H57" s="48"/>
      <c r="I57" s="39" t="s">
        <v>23</v>
      </c>
      <c r="J57" s="8"/>
      <c r="K57" s="8"/>
      <c r="L57" s="101">
        <f>OFICIAL!G52</f>
        <v>0</v>
      </c>
      <c r="M57" s="101">
        <f>OFICIAL!G52</f>
        <v>0</v>
      </c>
      <c r="N57" s="101">
        <f>OFICIAL!H52</f>
        <v>0</v>
      </c>
      <c r="O57" s="101" t="str">
        <f>OFICIAL!I52</f>
        <v>Suiza</v>
      </c>
      <c r="P57" s="8"/>
      <c r="Q57" s="20">
        <f t="shared" si="18"/>
        <v>1</v>
      </c>
      <c r="R57" s="20">
        <f t="shared" si="19"/>
        <v>3</v>
      </c>
      <c r="S57" s="20">
        <f t="shared" si="20"/>
        <v>4</v>
      </c>
    </row>
    <row r="58" spans="1:22" ht="12.75" customHeight="1" x14ac:dyDescent="0.2">
      <c r="A58" s="8">
        <v>48</v>
      </c>
      <c r="B58" s="44">
        <v>44897</v>
      </c>
      <c r="C58" s="2"/>
      <c r="D58" s="111" t="s">
        <v>16</v>
      </c>
      <c r="E58" s="112"/>
      <c r="F58" s="113"/>
      <c r="G58" s="48"/>
      <c r="H58" s="48"/>
      <c r="I58" s="39" t="s">
        <v>20</v>
      </c>
      <c r="J58" s="8"/>
      <c r="K58" s="8"/>
      <c r="L58" s="101">
        <f>OFICIAL!G53</f>
        <v>0</v>
      </c>
      <c r="M58" s="101">
        <f>OFICIAL!G53</f>
        <v>0</v>
      </c>
      <c r="N58" s="101">
        <f>OFICIAL!H53</f>
        <v>0</v>
      </c>
      <c r="O58" s="101" t="str">
        <f>OFICIAL!I53</f>
        <v>Brasil</v>
      </c>
      <c r="P58" s="8"/>
      <c r="Q58" s="20">
        <f t="shared" si="18"/>
        <v>1</v>
      </c>
      <c r="R58" s="20">
        <f t="shared" si="19"/>
        <v>3</v>
      </c>
      <c r="S58" s="20">
        <f t="shared" si="20"/>
        <v>4</v>
      </c>
    </row>
    <row r="59" spans="1:22" ht="12.75" customHeight="1" x14ac:dyDescent="0.2">
      <c r="A59" s="1" t="s">
        <v>21</v>
      </c>
      <c r="B59" s="44"/>
      <c r="D59" s="97"/>
      <c r="E59" s="97"/>
      <c r="F59" s="97"/>
      <c r="G59" s="1"/>
      <c r="H59" s="1"/>
      <c r="J59" s="1"/>
      <c r="K59" s="1"/>
      <c r="L59" s="109"/>
      <c r="M59" s="109"/>
      <c r="N59" s="110"/>
      <c r="O59" s="110"/>
      <c r="P59" s="1"/>
    </row>
    <row r="60" spans="1:22" ht="12.75" customHeight="1" x14ac:dyDescent="0.2">
      <c r="A60" s="8">
        <v>14</v>
      </c>
      <c r="B60" s="44">
        <v>44889</v>
      </c>
      <c r="C60" s="2"/>
      <c r="D60" s="111" t="s">
        <v>92</v>
      </c>
      <c r="E60" s="112"/>
      <c r="F60" s="113"/>
      <c r="G60" s="48"/>
      <c r="H60" s="48"/>
      <c r="I60" s="39" t="s">
        <v>91</v>
      </c>
      <c r="J60" s="8"/>
      <c r="K60" s="8"/>
      <c r="L60" s="101">
        <f>OFICIAL!G55</f>
        <v>0</v>
      </c>
      <c r="M60" s="101">
        <f>OFICIAL!G55</f>
        <v>0</v>
      </c>
      <c r="N60" s="101">
        <f>OFICIAL!H55</f>
        <v>0</v>
      </c>
      <c r="O60" s="101" t="str">
        <f>OFICIAL!I55</f>
        <v>Corea del Sur</v>
      </c>
      <c r="P60" s="8"/>
      <c r="Q60" s="20">
        <f t="shared" ref="Q60:Q65" si="21">IF(AND(OR(AND(G60-H60&gt;0,L60-N60&gt;0),AND(G60-H60&lt;0,L60-N60&lt;0),AND(G60-H60=0,L60-N60=0)),L60&gt;-1,N60&gt;-1),1,0)</f>
        <v>1</v>
      </c>
      <c r="R60" s="20">
        <f t="shared" ref="R60:R65" si="22">IF(AND(G60=L60,H60=N60,L60&gt;-1,G60&gt;-1),3,0)</f>
        <v>3</v>
      </c>
      <c r="S60" s="20">
        <f t="shared" ref="S60:S65" si="23">Q60+R60</f>
        <v>4</v>
      </c>
      <c r="V60" s="7"/>
    </row>
    <row r="61" spans="1:22" ht="12.75" customHeight="1" x14ac:dyDescent="0.2">
      <c r="A61" s="8">
        <v>15</v>
      </c>
      <c r="B61" s="44">
        <v>44889</v>
      </c>
      <c r="C61" s="2"/>
      <c r="D61" s="111" t="s">
        <v>19</v>
      </c>
      <c r="E61" s="112"/>
      <c r="F61" s="113"/>
      <c r="G61" s="48"/>
      <c r="H61" s="48"/>
      <c r="I61" s="39" t="s">
        <v>13</v>
      </c>
      <c r="J61" s="8"/>
      <c r="K61" s="8"/>
      <c r="L61" s="101">
        <f>OFICIAL!G56</f>
        <v>0</v>
      </c>
      <c r="M61" s="101">
        <f>OFICIAL!G56</f>
        <v>0</v>
      </c>
      <c r="N61" s="101">
        <f>OFICIAL!H56</f>
        <v>0</v>
      </c>
      <c r="O61" s="101" t="str">
        <f>OFICIAL!I56</f>
        <v>Ghana</v>
      </c>
      <c r="P61" s="8"/>
      <c r="Q61" s="20">
        <f t="shared" si="21"/>
        <v>1</v>
      </c>
      <c r="R61" s="20">
        <f t="shared" si="22"/>
        <v>3</v>
      </c>
      <c r="S61" s="20">
        <f t="shared" si="23"/>
        <v>4</v>
      </c>
      <c r="V61" s="7"/>
    </row>
    <row r="62" spans="1:22" ht="12.75" customHeight="1" x14ac:dyDescent="0.2">
      <c r="A62" s="8">
        <v>30</v>
      </c>
      <c r="B62" s="44">
        <v>44893</v>
      </c>
      <c r="C62" s="2"/>
      <c r="D62" s="111" t="s">
        <v>94</v>
      </c>
      <c r="E62" s="112"/>
      <c r="F62" s="113"/>
      <c r="G62" s="48"/>
      <c r="H62" s="48"/>
      <c r="I62" s="39" t="s">
        <v>13</v>
      </c>
      <c r="J62" s="8"/>
      <c r="K62" s="8"/>
      <c r="L62" s="101">
        <f>OFICIAL!G57</f>
        <v>0</v>
      </c>
      <c r="M62" s="101">
        <f>OFICIAL!G57</f>
        <v>0</v>
      </c>
      <c r="N62" s="101">
        <f>OFICIAL!H57</f>
        <v>0</v>
      </c>
      <c r="O62" s="101" t="str">
        <f>OFICIAL!I57</f>
        <v>Ghana</v>
      </c>
      <c r="P62" s="8"/>
      <c r="Q62" s="20">
        <f t="shared" si="21"/>
        <v>1</v>
      </c>
      <c r="R62" s="20">
        <f t="shared" si="22"/>
        <v>3</v>
      </c>
      <c r="S62" s="20">
        <f t="shared" si="23"/>
        <v>4</v>
      </c>
      <c r="V62" s="7"/>
    </row>
    <row r="63" spans="1:22" ht="12.75" customHeight="1" x14ac:dyDescent="0.2">
      <c r="A63" s="8">
        <v>32</v>
      </c>
      <c r="B63" s="44">
        <v>44893</v>
      </c>
      <c r="C63" s="2"/>
      <c r="D63" s="111" t="s">
        <v>19</v>
      </c>
      <c r="E63" s="112"/>
      <c r="F63" s="113"/>
      <c r="G63" s="48"/>
      <c r="H63" s="48"/>
      <c r="I63" s="39" t="s">
        <v>4</v>
      </c>
      <c r="J63" s="8"/>
      <c r="K63" s="8"/>
      <c r="L63" s="101">
        <f>OFICIAL!G58</f>
        <v>0</v>
      </c>
      <c r="M63" s="101">
        <f>OFICIAL!G58</f>
        <v>0</v>
      </c>
      <c r="N63" s="101">
        <f>OFICIAL!H58</f>
        <v>0</v>
      </c>
      <c r="O63" s="101" t="str">
        <f>OFICIAL!I58</f>
        <v>Uruguay</v>
      </c>
      <c r="P63" s="8"/>
      <c r="Q63" s="20">
        <f t="shared" si="21"/>
        <v>1</v>
      </c>
      <c r="R63" s="20">
        <f t="shared" si="22"/>
        <v>3</v>
      </c>
      <c r="S63" s="20">
        <f t="shared" si="23"/>
        <v>4</v>
      </c>
      <c r="V63" s="7"/>
    </row>
    <row r="64" spans="1:22" ht="12.75" customHeight="1" x14ac:dyDescent="0.2">
      <c r="A64" s="8">
        <v>45</v>
      </c>
      <c r="B64" s="44">
        <v>44897</v>
      </c>
      <c r="C64" s="2"/>
      <c r="D64" s="111" t="s">
        <v>94</v>
      </c>
      <c r="E64" s="112"/>
      <c r="F64" s="113"/>
      <c r="G64" s="48"/>
      <c r="H64" s="48"/>
      <c r="I64" s="39" t="s">
        <v>19</v>
      </c>
      <c r="J64" s="8"/>
      <c r="K64" s="8"/>
      <c r="L64" s="101">
        <f>OFICIAL!G59</f>
        <v>0</v>
      </c>
      <c r="M64" s="101">
        <f>OFICIAL!G59</f>
        <v>0</v>
      </c>
      <c r="N64" s="101">
        <f>OFICIAL!H59</f>
        <v>0</v>
      </c>
      <c r="O64" s="101" t="str">
        <f>OFICIAL!I59</f>
        <v>Portugal</v>
      </c>
      <c r="P64" s="8"/>
      <c r="Q64" s="20">
        <f t="shared" si="21"/>
        <v>1</v>
      </c>
      <c r="R64" s="20">
        <f t="shared" si="22"/>
        <v>3</v>
      </c>
      <c r="S64" s="20">
        <f t="shared" si="23"/>
        <v>4</v>
      </c>
    </row>
    <row r="65" spans="1:21" ht="12.75" customHeight="1" x14ac:dyDescent="0.2">
      <c r="A65" s="8">
        <v>46</v>
      </c>
      <c r="B65" s="44">
        <v>44897</v>
      </c>
      <c r="C65" s="2"/>
      <c r="D65" s="111" t="s">
        <v>13</v>
      </c>
      <c r="E65" s="112"/>
      <c r="F65" s="113"/>
      <c r="G65" s="48"/>
      <c r="H65" s="48"/>
      <c r="I65" s="39" t="s">
        <v>4</v>
      </c>
      <c r="J65" s="8"/>
      <c r="K65" s="8"/>
      <c r="L65" s="101">
        <f>OFICIAL!G60</f>
        <v>0</v>
      </c>
      <c r="M65" s="101">
        <f>OFICIAL!G60</f>
        <v>0</v>
      </c>
      <c r="N65" s="101">
        <f>OFICIAL!H60</f>
        <v>0</v>
      </c>
      <c r="O65" s="101" t="str">
        <f>OFICIAL!I60</f>
        <v>Uruguay</v>
      </c>
      <c r="P65" s="8"/>
      <c r="Q65" s="20">
        <f t="shared" si="21"/>
        <v>1</v>
      </c>
      <c r="R65" s="20">
        <f t="shared" si="22"/>
        <v>3</v>
      </c>
      <c r="S65" s="20">
        <f t="shared" si="23"/>
        <v>4</v>
      </c>
    </row>
    <row r="67" spans="1:21" ht="12.75" customHeight="1" thickBot="1" x14ac:dyDescent="0.25"/>
    <row r="68" spans="1:21" s="12" customFormat="1" ht="12.75" customHeight="1" thickBot="1" x14ac:dyDescent="0.25">
      <c r="A68" s="10"/>
      <c r="B68" s="11" t="s">
        <v>32</v>
      </c>
      <c r="D68" s="13"/>
      <c r="E68" s="13"/>
      <c r="F68" s="13"/>
      <c r="G68" s="10"/>
      <c r="H68" s="10"/>
      <c r="I68" s="11"/>
      <c r="J68" s="10"/>
      <c r="K68" s="10"/>
      <c r="L68" s="10"/>
      <c r="M68" s="10"/>
      <c r="N68" s="10"/>
      <c r="O68" s="10"/>
      <c r="P68" s="10"/>
      <c r="Q68" s="115">
        <f>SUM(S11:S65)</f>
        <v>192</v>
      </c>
      <c r="R68" s="116"/>
      <c r="S68" s="117"/>
      <c r="U68" s="1"/>
    </row>
    <row r="70" spans="1:21" ht="12.75" customHeight="1" x14ac:dyDescent="0.2">
      <c r="A70" s="119" t="s">
        <v>36</v>
      </c>
      <c r="B70" s="119"/>
      <c r="C70" s="108" t="s">
        <v>43</v>
      </c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</row>
    <row r="71" spans="1:21" ht="12.75" customHeight="1" x14ac:dyDescent="0.2">
      <c r="B71" s="11"/>
      <c r="C71" s="25" t="s">
        <v>44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21" ht="12.75" customHeight="1" x14ac:dyDescent="0.2">
      <c r="A72" s="29" t="s">
        <v>42</v>
      </c>
      <c r="B72" s="30"/>
      <c r="C72" s="31" t="s">
        <v>37</v>
      </c>
      <c r="D72" s="31" t="s">
        <v>38</v>
      </c>
      <c r="E72" s="31" t="s">
        <v>35</v>
      </c>
      <c r="F72" s="31" t="s">
        <v>34</v>
      </c>
      <c r="G72" s="19"/>
      <c r="H72" s="19"/>
      <c r="I72" s="18"/>
    </row>
    <row r="73" spans="1:21" ht="12.75" customHeight="1" x14ac:dyDescent="0.2">
      <c r="A73" s="32" t="s">
        <v>39</v>
      </c>
      <c r="B73" s="33"/>
      <c r="C73" s="34">
        <v>16</v>
      </c>
      <c r="D73" s="34">
        <v>8</v>
      </c>
      <c r="E73" s="34">
        <v>4</v>
      </c>
      <c r="F73" s="34">
        <v>2</v>
      </c>
      <c r="G73" s="14"/>
      <c r="H73" s="14"/>
      <c r="I73" s="14"/>
      <c r="S73" s="21" t="s">
        <v>28</v>
      </c>
    </row>
    <row r="74" spans="1:21" ht="12.75" customHeight="1" x14ac:dyDescent="0.2">
      <c r="A74" s="35" t="s">
        <v>40</v>
      </c>
      <c r="B74" s="36"/>
      <c r="C74" s="37">
        <v>1</v>
      </c>
      <c r="D74" s="37">
        <v>2</v>
      </c>
      <c r="E74" s="37">
        <v>5</v>
      </c>
      <c r="F74" s="37">
        <v>8</v>
      </c>
      <c r="G74" s="16"/>
      <c r="H74" s="16"/>
      <c r="I74" s="16"/>
      <c r="L74" s="114" t="s">
        <v>25</v>
      </c>
      <c r="M74" s="114"/>
      <c r="N74" s="114"/>
      <c r="O74" s="114"/>
    </row>
    <row r="75" spans="1:21" ht="12.75" customHeight="1" x14ac:dyDescent="0.2">
      <c r="A75" s="5"/>
      <c r="B75" s="5"/>
      <c r="D75" s="1"/>
      <c r="E75" s="1"/>
      <c r="F75" s="1"/>
      <c r="G75" s="1"/>
      <c r="H75" s="1"/>
      <c r="I75" s="1"/>
      <c r="L75" s="20" t="s">
        <v>37</v>
      </c>
      <c r="M75" s="20" t="s">
        <v>38</v>
      </c>
      <c r="N75" s="20" t="s">
        <v>35</v>
      </c>
      <c r="O75" s="20" t="s">
        <v>34</v>
      </c>
    </row>
    <row r="76" spans="1:21" ht="12.75" customHeight="1" x14ac:dyDescent="0.25">
      <c r="A76" s="7">
        <v>1</v>
      </c>
      <c r="B76" s="40" t="s">
        <v>81</v>
      </c>
      <c r="C76" s="49"/>
      <c r="D76" s="49"/>
      <c r="E76" s="49"/>
      <c r="F76" s="49"/>
      <c r="L76" s="22">
        <f>IF(AND(C76=OFICIAL!C70,OFICIAL!C70="X"),1,0)</f>
        <v>0</v>
      </c>
      <c r="M76" s="22">
        <f>IF(AND(D76=OFICIAL!D70,OFICIAL!D70="X"),2,0)</f>
        <v>0</v>
      </c>
      <c r="N76" s="22">
        <f>IF(AND(E76=OFICIAL!E70,OFICIAL!E70="X"),5,0)</f>
        <v>0</v>
      </c>
      <c r="O76" s="22">
        <f>IF(AND(F76=OFICIAL!F70,OFICIAL!F70="X"),8,0)</f>
        <v>0</v>
      </c>
      <c r="S76" s="20">
        <f t="shared" ref="S76:S107" si="24">SUM(L76:O76)</f>
        <v>0</v>
      </c>
    </row>
    <row r="77" spans="1:21" ht="12.75" customHeight="1" x14ac:dyDescent="0.25">
      <c r="A77" s="7">
        <v>2</v>
      </c>
      <c r="B77" s="40" t="s">
        <v>76</v>
      </c>
      <c r="C77" s="49"/>
      <c r="D77" s="49"/>
      <c r="E77" s="49"/>
      <c r="F77" s="49"/>
      <c r="L77" s="22">
        <f>IF(AND(C77=OFICIAL!C71,OFICIAL!C71="X"),1,0)</f>
        <v>0</v>
      </c>
      <c r="M77" s="22">
        <f>IF(AND(D77=OFICIAL!D71,OFICIAL!D71="X"),2,0)</f>
        <v>0</v>
      </c>
      <c r="N77" s="22">
        <f>IF(AND(E77=OFICIAL!E71,OFICIAL!E71="X"),5,0)</f>
        <v>0</v>
      </c>
      <c r="O77" s="22">
        <f>IF(AND(F77=OFICIAL!F71,OFICIAL!F71="X"),8,0)</f>
        <v>0</v>
      </c>
      <c r="S77" s="20">
        <f t="shared" si="24"/>
        <v>0</v>
      </c>
    </row>
    <row r="78" spans="1:21" ht="12.75" customHeight="1" x14ac:dyDescent="0.25">
      <c r="A78" s="7">
        <v>3</v>
      </c>
      <c r="B78" s="40" t="s">
        <v>82</v>
      </c>
      <c r="C78" s="49"/>
      <c r="D78" s="49"/>
      <c r="E78" s="49"/>
      <c r="F78" s="49"/>
      <c r="L78" s="22">
        <f>IF(AND(C78=OFICIAL!C72,OFICIAL!C72="X"),1,0)</f>
        <v>0</v>
      </c>
      <c r="M78" s="22">
        <f>IF(AND(D78=OFICIAL!D72,OFICIAL!D72="X"),2,0)</f>
        <v>0</v>
      </c>
      <c r="N78" s="22">
        <f>IF(AND(E78=OFICIAL!E72,OFICIAL!E72="X"),5,0)</f>
        <v>0</v>
      </c>
      <c r="O78" s="22">
        <f>IF(AND(F78=OFICIAL!F72,OFICIAL!F72="X"),8,0)</f>
        <v>0</v>
      </c>
      <c r="S78" s="20">
        <f t="shared" si="24"/>
        <v>0</v>
      </c>
    </row>
    <row r="79" spans="1:21" ht="12.75" customHeight="1" x14ac:dyDescent="0.25">
      <c r="A79" s="7">
        <v>4</v>
      </c>
      <c r="B79" s="40" t="s">
        <v>83</v>
      </c>
      <c r="C79" s="49"/>
      <c r="D79" s="49"/>
      <c r="E79" s="49"/>
      <c r="F79" s="49"/>
      <c r="L79" s="22">
        <f>IF(AND(C79=OFICIAL!C73,OFICIAL!C73="X"),1,0)</f>
        <v>0</v>
      </c>
      <c r="M79" s="22">
        <f>IF(AND(D79=OFICIAL!D73,OFICIAL!D73="X"),2,0)</f>
        <v>0</v>
      </c>
      <c r="N79" s="22">
        <f>IF(AND(E79=OFICIAL!E73,OFICIAL!E73="X"),5,0)</f>
        <v>0</v>
      </c>
      <c r="O79" s="22">
        <f>IF(AND(F79=OFICIAL!F73,OFICIAL!F73="X"),8,0)</f>
        <v>0</v>
      </c>
      <c r="S79" s="20">
        <f t="shared" si="24"/>
        <v>0</v>
      </c>
    </row>
    <row r="80" spans="1:21" ht="12.75" customHeight="1" x14ac:dyDescent="0.25">
      <c r="A80" s="7">
        <v>5</v>
      </c>
      <c r="B80" s="40" t="s">
        <v>9</v>
      </c>
      <c r="C80" s="49"/>
      <c r="D80" s="49"/>
      <c r="E80" s="49"/>
      <c r="F80" s="49"/>
      <c r="L80" s="22">
        <f>IF(AND(C80=OFICIAL!C74,OFICIAL!C74="X"),1,0)</f>
        <v>0</v>
      </c>
      <c r="M80" s="22">
        <f>IF(AND(D80=OFICIAL!D74,OFICIAL!D74="X"),2,0)</f>
        <v>0</v>
      </c>
      <c r="N80" s="22">
        <f>IF(AND(E80=OFICIAL!E74,OFICIAL!E74="X"),5,0)</f>
        <v>0</v>
      </c>
      <c r="O80" s="22">
        <f>IF(AND(F80=OFICIAL!F74,OFICIAL!F74="X"),8,0)</f>
        <v>0</v>
      </c>
      <c r="S80" s="20">
        <f t="shared" si="24"/>
        <v>0</v>
      </c>
    </row>
    <row r="81" spans="1:30" ht="12.75" customHeight="1" x14ac:dyDescent="0.25">
      <c r="A81" s="7">
        <v>6</v>
      </c>
      <c r="B81" s="40" t="s">
        <v>84</v>
      </c>
      <c r="C81" s="49"/>
      <c r="D81" s="49"/>
      <c r="E81" s="49"/>
      <c r="F81" s="49"/>
      <c r="L81" s="22">
        <f>IF(AND(C81=OFICIAL!C75,OFICIAL!C75="X"),1,0)</f>
        <v>0</v>
      </c>
      <c r="M81" s="22">
        <f>IF(AND(D81=OFICIAL!D75,OFICIAL!D75="X"),2,0)</f>
        <v>0</v>
      </c>
      <c r="N81" s="22">
        <f>IF(AND(E81=OFICIAL!E75,OFICIAL!E75="X"),5,0)</f>
        <v>0</v>
      </c>
      <c r="O81" s="22">
        <f>IF(AND(F81=OFICIAL!F75,OFICIAL!F75="X"),8,0)</f>
        <v>0</v>
      </c>
      <c r="S81" s="20">
        <f t="shared" si="24"/>
        <v>0</v>
      </c>
    </row>
    <row r="82" spans="1:30" ht="12.75" customHeight="1" x14ac:dyDescent="0.25">
      <c r="A82" s="7">
        <v>7</v>
      </c>
      <c r="B82" s="40" t="s">
        <v>24</v>
      </c>
      <c r="C82" s="49"/>
      <c r="D82" s="49"/>
      <c r="E82" s="49"/>
      <c r="F82" s="49"/>
      <c r="L82" s="20">
        <f>IF(AND(C82=OFICIAL!C76,OFICIAL!C76="X"),1,0)</f>
        <v>0</v>
      </c>
      <c r="M82" s="20">
        <f>IF(AND(D82=OFICIAL!D76,OFICIAL!D76="X"),2,0)</f>
        <v>0</v>
      </c>
      <c r="N82" s="20">
        <f>IF(AND(E82=OFICIAL!E76,OFICIAL!E76="X"),5,0)</f>
        <v>0</v>
      </c>
      <c r="O82" s="20">
        <f>IF(AND(F82=OFICIAL!F76,OFICIAL!F76="X"),8,0)</f>
        <v>0</v>
      </c>
      <c r="S82" s="20">
        <f t="shared" si="24"/>
        <v>0</v>
      </c>
    </row>
    <row r="83" spans="1:30" ht="12.75" customHeight="1" x14ac:dyDescent="0.25">
      <c r="A83" s="7">
        <v>8</v>
      </c>
      <c r="B83" s="40" t="s">
        <v>85</v>
      </c>
      <c r="C83" s="49"/>
      <c r="D83" s="49"/>
      <c r="E83" s="49"/>
      <c r="F83" s="49"/>
      <c r="L83" s="22">
        <f>IF(AND(C83=OFICIAL!C77,OFICIAL!C77="X"),1,0)</f>
        <v>0</v>
      </c>
      <c r="M83" s="22">
        <f>IF(AND(D83=OFICIAL!D77,OFICIAL!D77="X"),2,0)</f>
        <v>0</v>
      </c>
      <c r="N83" s="22">
        <f>IF(AND(E83=OFICIAL!E77,OFICIAL!E77="X"),5,0)</f>
        <v>0</v>
      </c>
      <c r="O83" s="22">
        <f>IF(AND(F83=OFICIAL!F77,OFICIAL!F77="X"),8,0)</f>
        <v>0</v>
      </c>
      <c r="S83" s="20">
        <f t="shared" si="24"/>
        <v>0</v>
      </c>
      <c r="AD83" s="7"/>
    </row>
    <row r="84" spans="1:30" ht="12.75" customHeight="1" x14ac:dyDescent="0.25">
      <c r="A84" s="7">
        <v>9</v>
      </c>
      <c r="B84" s="41" t="s">
        <v>7</v>
      </c>
      <c r="C84" s="49"/>
      <c r="D84" s="50"/>
      <c r="E84" s="49"/>
      <c r="F84" s="49"/>
      <c r="L84" s="22">
        <f>IF(AND(C84=OFICIAL!C78,OFICIAL!C78="X"),1,0)</f>
        <v>0</v>
      </c>
      <c r="M84" s="22">
        <f>IF(AND(D84=OFICIAL!D78,OFICIAL!D78="X"),2,0)</f>
        <v>0</v>
      </c>
      <c r="N84" s="22">
        <f>IF(AND(E84=OFICIAL!E78,OFICIAL!E78="X"),5,0)</f>
        <v>0</v>
      </c>
      <c r="O84" s="22">
        <f>IF(AND(F84=OFICIAL!F78,OFICIAL!F78="X"),8,0)</f>
        <v>0</v>
      </c>
      <c r="S84" s="20">
        <f t="shared" si="24"/>
        <v>0</v>
      </c>
      <c r="AD84" s="7"/>
    </row>
    <row r="85" spans="1:30" ht="12.75" customHeight="1" x14ac:dyDescent="0.25">
      <c r="A85" s="7">
        <v>10</v>
      </c>
      <c r="B85" s="40" t="s">
        <v>86</v>
      </c>
      <c r="C85" s="49"/>
      <c r="D85" s="49"/>
      <c r="E85" s="49"/>
      <c r="F85" s="49"/>
      <c r="L85" s="22">
        <f>IF(AND(C85=OFICIAL!C79,OFICIAL!C79="X"),1,0)</f>
        <v>0</v>
      </c>
      <c r="M85" s="22">
        <f>IF(AND(D85=OFICIAL!D79,OFICIAL!D79="X"),2,0)</f>
        <v>0</v>
      </c>
      <c r="N85" s="22">
        <f>IF(AND(E85=OFICIAL!E79,OFICIAL!E79="X"),5,0)</f>
        <v>0</v>
      </c>
      <c r="O85" s="22">
        <f>IF(AND(F85=OFICIAL!F79,OFICIAL!F79="X"),8,0)</f>
        <v>0</v>
      </c>
      <c r="S85" s="20">
        <f t="shared" si="24"/>
        <v>0</v>
      </c>
    </row>
    <row r="86" spans="1:30" ht="12.75" customHeight="1" x14ac:dyDescent="0.25">
      <c r="A86" s="7">
        <v>11</v>
      </c>
      <c r="B86" s="41" t="s">
        <v>3</v>
      </c>
      <c r="C86" s="49"/>
      <c r="D86" s="50"/>
      <c r="E86" s="49"/>
      <c r="F86" s="49"/>
      <c r="L86" s="22">
        <f>IF(AND(C86=OFICIAL!C80,OFICIAL!C80="X"),1,0)</f>
        <v>0</v>
      </c>
      <c r="M86" s="22">
        <f>IF(AND(D86=OFICIAL!D80,OFICIAL!D80="X"),2,0)</f>
        <v>0</v>
      </c>
      <c r="N86" s="22">
        <f>IF(AND(E86=OFICIAL!E80,OFICIAL!E80="X"),5,0)</f>
        <v>0</v>
      </c>
      <c r="O86" s="22">
        <f>IF(AND(F86=OFICIAL!F80,OFICIAL!F80="X"),8,0)</f>
        <v>0</v>
      </c>
      <c r="S86" s="20">
        <f t="shared" si="24"/>
        <v>0</v>
      </c>
    </row>
    <row r="87" spans="1:30" ht="12.75" customHeight="1" x14ac:dyDescent="0.25">
      <c r="A87" s="7">
        <v>12</v>
      </c>
      <c r="B87" s="40" t="s">
        <v>87</v>
      </c>
      <c r="C87" s="49"/>
      <c r="D87" s="49"/>
      <c r="E87" s="49"/>
      <c r="F87" s="49"/>
      <c r="L87" s="22">
        <f>IF(AND(C87=OFICIAL!C81,OFICIAL!C81="X"),1,0)</f>
        <v>0</v>
      </c>
      <c r="M87" s="22">
        <f>IF(AND(D87=OFICIAL!D81,OFICIAL!D81="X"),2,0)</f>
        <v>0</v>
      </c>
      <c r="N87" s="22">
        <f>IF(AND(E87=OFICIAL!E81,OFICIAL!E81="X"),5,0)</f>
        <v>0</v>
      </c>
      <c r="O87" s="22">
        <f>IF(AND(F87=OFICIAL!F81,OFICIAL!F81="X"),8,0)</f>
        <v>0</v>
      </c>
      <c r="S87" s="20">
        <f t="shared" si="24"/>
        <v>0</v>
      </c>
    </row>
    <row r="88" spans="1:30" ht="12.75" customHeight="1" x14ac:dyDescent="0.25">
      <c r="A88" s="7">
        <v>13</v>
      </c>
      <c r="B88" s="41" t="s">
        <v>5</v>
      </c>
      <c r="C88" s="49"/>
      <c r="D88" s="49"/>
      <c r="E88" s="49"/>
      <c r="F88" s="49"/>
      <c r="L88" s="22">
        <f>IF(AND(C88=OFICIAL!C82,OFICIAL!C82="X"),1,0)</f>
        <v>0</v>
      </c>
      <c r="M88" s="22">
        <f>IF(AND(D88=OFICIAL!D82,OFICIAL!D82="X"),2,0)</f>
        <v>0</v>
      </c>
      <c r="N88" s="22">
        <f>IF(AND(E88=OFICIAL!E82,OFICIAL!E82="X"),5,0)</f>
        <v>0</v>
      </c>
      <c r="O88" s="22">
        <f>IF(AND(F88=OFICIAL!F82,OFICIAL!F82="X"),8,0)</f>
        <v>0</v>
      </c>
      <c r="S88" s="20">
        <f t="shared" si="24"/>
        <v>0</v>
      </c>
    </row>
    <row r="89" spans="1:30" ht="12.75" customHeight="1" x14ac:dyDescent="0.25">
      <c r="A89" s="7">
        <v>14</v>
      </c>
      <c r="B89" s="39" t="s">
        <v>12</v>
      </c>
      <c r="C89" s="49"/>
      <c r="D89" s="49"/>
      <c r="E89" s="49"/>
      <c r="F89" s="49"/>
      <c r="L89" s="22">
        <f>IF(AND(C89=OFICIAL!C83,OFICIAL!C83="X"),1,0)</f>
        <v>0</v>
      </c>
      <c r="M89" s="22">
        <f>IF(AND(D89=OFICIAL!D83,OFICIAL!D83="X"),2,0)</f>
        <v>0</v>
      </c>
      <c r="N89" s="22">
        <f>IF(AND(E89=OFICIAL!E83,OFICIAL!E83="X"),5,0)</f>
        <v>0</v>
      </c>
      <c r="O89" s="22">
        <f>IF(AND(F89=OFICIAL!F83,OFICIAL!F83="X"),8,0)</f>
        <v>0</v>
      </c>
      <c r="S89" s="20">
        <f t="shared" si="24"/>
        <v>0</v>
      </c>
    </row>
    <row r="90" spans="1:30" ht="12.75" customHeight="1" x14ac:dyDescent="0.25">
      <c r="A90" s="7">
        <v>15</v>
      </c>
      <c r="B90" s="41" t="s">
        <v>79</v>
      </c>
      <c r="C90" s="49"/>
      <c r="D90" s="49"/>
      <c r="E90" s="49"/>
      <c r="F90" s="49"/>
      <c r="L90" s="22">
        <f>IF(AND(C90=OFICIAL!C84,OFICIAL!C84="X"),1,0)</f>
        <v>0</v>
      </c>
      <c r="M90" s="22">
        <f>IF(AND(D90=OFICIAL!D84,OFICIAL!D84="X"),2,0)</f>
        <v>0</v>
      </c>
      <c r="N90" s="22">
        <f>IF(AND(E90=OFICIAL!E84,OFICIAL!E84="X"),5,0)</f>
        <v>0</v>
      </c>
      <c r="O90" s="22">
        <f>IF(AND(F90=OFICIAL!F84,OFICIAL!F84="X"),8,0)</f>
        <v>0</v>
      </c>
      <c r="S90" s="20">
        <f t="shared" si="24"/>
        <v>0</v>
      </c>
    </row>
    <row r="91" spans="1:30" ht="12.75" customHeight="1" x14ac:dyDescent="0.25">
      <c r="A91" s="7">
        <v>16</v>
      </c>
      <c r="B91" s="39" t="s">
        <v>88</v>
      </c>
      <c r="C91" s="49"/>
      <c r="D91" s="49"/>
      <c r="E91" s="49"/>
      <c r="F91" s="49"/>
      <c r="L91" s="22">
        <f>IF(AND(C91=OFICIAL!C85,OFICIAL!C85="X"),1,0)</f>
        <v>0</v>
      </c>
      <c r="M91" s="22">
        <f>IF(AND(D91=OFICIAL!D85,OFICIAL!D85="X"),2,0)</f>
        <v>0</v>
      </c>
      <c r="N91" s="22">
        <f>IF(AND(E91=OFICIAL!E85,OFICIAL!E85="X"),5,0)</f>
        <v>0</v>
      </c>
      <c r="O91" s="22">
        <f>IF(AND(F91=OFICIAL!F85,OFICIAL!F85="X"),8,0)</f>
        <v>0</v>
      </c>
      <c r="S91" s="20">
        <f t="shared" si="24"/>
        <v>0</v>
      </c>
    </row>
    <row r="92" spans="1:30" ht="12.75" customHeight="1" x14ac:dyDescent="0.25">
      <c r="A92" s="7">
        <v>17</v>
      </c>
      <c r="B92" s="41" t="s">
        <v>22</v>
      </c>
      <c r="C92" s="49"/>
      <c r="D92" s="50"/>
      <c r="E92" s="49"/>
      <c r="F92" s="49"/>
      <c r="L92" s="20">
        <f>IF(AND(C92=OFICIAL!C86,OFICIAL!C86="X"),1,0)</f>
        <v>0</v>
      </c>
      <c r="M92" s="20">
        <f>IF(AND(D92=OFICIAL!D86,OFICIAL!D86="X"),2,0)</f>
        <v>0</v>
      </c>
      <c r="N92" s="20">
        <f>IF(AND(E92=OFICIAL!E86,OFICIAL!E86="X"),5,0)</f>
        <v>0</v>
      </c>
      <c r="O92" s="20">
        <f>IF(AND(F92=OFICIAL!F86,OFICIAL!F86="X"),8,0)</f>
        <v>0</v>
      </c>
      <c r="S92" s="20">
        <f t="shared" si="24"/>
        <v>0</v>
      </c>
    </row>
    <row r="93" spans="1:30" ht="12.75" customHeight="1" x14ac:dyDescent="0.25">
      <c r="A93" s="7">
        <v>18</v>
      </c>
      <c r="B93" s="39" t="s">
        <v>75</v>
      </c>
      <c r="C93" s="49"/>
      <c r="D93" s="49"/>
      <c r="E93" s="49"/>
      <c r="F93" s="49"/>
      <c r="L93" s="20">
        <f>IF(AND(C93=OFICIAL!C87,OFICIAL!C87="X"),1,0)</f>
        <v>0</v>
      </c>
      <c r="M93" s="20">
        <f>IF(AND(D93=OFICIAL!D87,OFICIAL!D87="X"),2,0)</f>
        <v>0</v>
      </c>
      <c r="N93" s="20">
        <f>IF(AND(E93=OFICIAL!E87,OFICIAL!E87="X"),5,0)</f>
        <v>0</v>
      </c>
      <c r="O93" s="20">
        <f>IF(AND(F93=OFICIAL!F87,OFICIAL!F87="X"),8,0)</f>
        <v>0</v>
      </c>
      <c r="S93" s="20">
        <f t="shared" si="24"/>
        <v>0</v>
      </c>
    </row>
    <row r="94" spans="1:30" ht="12.75" customHeight="1" x14ac:dyDescent="0.25">
      <c r="A94" s="7">
        <v>19</v>
      </c>
      <c r="B94" s="41" t="s">
        <v>11</v>
      </c>
      <c r="C94" s="49"/>
      <c r="D94" s="49"/>
      <c r="E94" s="49"/>
      <c r="F94" s="49"/>
      <c r="L94" s="20">
        <f>IF(AND(C94=OFICIAL!C88,OFICIAL!C88="X"),1,0)</f>
        <v>0</v>
      </c>
      <c r="M94" s="20">
        <f>IF(AND(D94=OFICIAL!D88,OFICIAL!D88="X"),2,0)</f>
        <v>0</v>
      </c>
      <c r="N94" s="20">
        <f>IF(AND(E94=OFICIAL!E88,OFICIAL!E88="X"),5,0)</f>
        <v>0</v>
      </c>
      <c r="O94" s="20">
        <f>IF(AND(F94=OFICIAL!F88,OFICIAL!F88="X"),8,0)</f>
        <v>0</v>
      </c>
      <c r="S94" s="20">
        <f t="shared" si="24"/>
        <v>0</v>
      </c>
    </row>
    <row r="95" spans="1:30" ht="12.75" customHeight="1" x14ac:dyDescent="0.25">
      <c r="A95" s="7">
        <v>20</v>
      </c>
      <c r="B95" s="39" t="s">
        <v>15</v>
      </c>
      <c r="C95" s="49"/>
      <c r="D95" s="49"/>
      <c r="E95" s="49"/>
      <c r="F95" s="49"/>
      <c r="L95" s="20">
        <f>IF(AND(C95=OFICIAL!C89,OFICIAL!C89="X"),1,0)</f>
        <v>0</v>
      </c>
      <c r="M95" s="20">
        <f>IF(AND(D95=OFICIAL!D89,OFICIAL!D89="X"),2,0)</f>
        <v>0</v>
      </c>
      <c r="N95" s="20">
        <f>IF(AND(E95=OFICIAL!E89,OFICIAL!E89="X"),5,0)</f>
        <v>0</v>
      </c>
      <c r="O95" s="20">
        <f>IF(AND(F95=OFICIAL!F89,OFICIAL!F89="X"),8,0)</f>
        <v>0</v>
      </c>
      <c r="S95" s="20">
        <f t="shared" si="24"/>
        <v>0</v>
      </c>
    </row>
    <row r="96" spans="1:30" ht="12.75" customHeight="1" x14ac:dyDescent="0.25">
      <c r="A96" s="7">
        <v>21</v>
      </c>
      <c r="B96" s="41" t="s">
        <v>77</v>
      </c>
      <c r="C96" s="49"/>
      <c r="D96" s="49"/>
      <c r="E96" s="49"/>
      <c r="F96" s="49"/>
      <c r="L96" s="20">
        <f>IF(AND(C96=OFICIAL!C90,OFICIAL!C90="X"),1,0)</f>
        <v>0</v>
      </c>
      <c r="M96" s="20">
        <f>IF(AND(D96=OFICIAL!D90,OFICIAL!D90="X"),2,0)</f>
        <v>0</v>
      </c>
      <c r="N96" s="20">
        <f>IF(AND(E96=OFICIAL!E90,OFICIAL!E90="X"),5,0)</f>
        <v>0</v>
      </c>
      <c r="O96" s="20">
        <f>IF(AND(F96=OFICIAL!F90,OFICIAL!F90="X"),8,0)</f>
        <v>0</v>
      </c>
      <c r="S96" s="20">
        <f t="shared" si="24"/>
        <v>0</v>
      </c>
    </row>
    <row r="97" spans="1:25" ht="12.75" customHeight="1" x14ac:dyDescent="0.25">
      <c r="A97" s="7">
        <v>22</v>
      </c>
      <c r="B97" s="39" t="s">
        <v>89</v>
      </c>
      <c r="C97" s="49"/>
      <c r="D97" s="49"/>
      <c r="E97" s="49"/>
      <c r="F97" s="49"/>
      <c r="L97" s="20">
        <f>IF(AND(C97=OFICIAL!C91,OFICIAL!C91="X"),1,0)</f>
        <v>0</v>
      </c>
      <c r="M97" s="20">
        <f>IF(AND(D97=OFICIAL!D91,OFICIAL!D91="X"),2,0)</f>
        <v>0</v>
      </c>
      <c r="N97" s="20">
        <f>IF(AND(E97=OFICIAL!E91,OFICIAL!E91="X"),5,0)</f>
        <v>0</v>
      </c>
      <c r="O97" s="20">
        <f>IF(AND(F97=OFICIAL!F91,OFICIAL!F91="X"),8,0)</f>
        <v>0</v>
      </c>
      <c r="S97" s="20">
        <f t="shared" si="24"/>
        <v>0</v>
      </c>
    </row>
    <row r="98" spans="1:25" ht="12.75" customHeight="1" x14ac:dyDescent="0.25">
      <c r="A98" s="7">
        <v>23</v>
      </c>
      <c r="B98" s="41" t="s">
        <v>90</v>
      </c>
      <c r="C98" s="50"/>
      <c r="D98" s="50"/>
      <c r="E98" s="49"/>
      <c r="F98" s="49"/>
      <c r="L98" s="20">
        <f>IF(AND(C98=OFICIAL!C92,OFICIAL!C92="X"),1,0)</f>
        <v>0</v>
      </c>
      <c r="M98" s="20">
        <f>IF(AND(D98=OFICIAL!D92,OFICIAL!D92="X"),2,0)</f>
        <v>0</v>
      </c>
      <c r="N98" s="20">
        <f>IF(AND(E98=OFICIAL!E92,OFICIAL!E92="X"),5,0)</f>
        <v>0</v>
      </c>
      <c r="O98" s="20">
        <f>IF(AND(F98=OFICIAL!F92,OFICIAL!F92="X"),8,0)</f>
        <v>0</v>
      </c>
      <c r="S98" s="20">
        <f t="shared" si="24"/>
        <v>0</v>
      </c>
    </row>
    <row r="99" spans="1:25" ht="12.75" customHeight="1" x14ac:dyDescent="0.25">
      <c r="A99" s="7">
        <v>24</v>
      </c>
      <c r="B99" s="39" t="s">
        <v>74</v>
      </c>
      <c r="C99" s="49"/>
      <c r="D99" s="49"/>
      <c r="E99" s="49"/>
      <c r="F99" s="49"/>
      <c r="L99" s="20">
        <f>IF(AND(C99=OFICIAL!C93,OFICIAL!C93="X"),1,0)</f>
        <v>0</v>
      </c>
      <c r="M99" s="20">
        <f>IF(AND(D99=OFICIAL!D93,OFICIAL!D93="X"),2,0)</f>
        <v>0</v>
      </c>
      <c r="N99" s="20">
        <f>IF(AND(E99=OFICIAL!E93,OFICIAL!E93="X"),5,0)</f>
        <v>0</v>
      </c>
      <c r="O99" s="20">
        <f>IF(AND(F99=OFICIAL!F93,OFICIAL!F93="X"),8,0)</f>
        <v>0</v>
      </c>
      <c r="S99" s="20">
        <f t="shared" si="24"/>
        <v>0</v>
      </c>
      <c r="X99" s="7"/>
      <c r="Y99" s="7"/>
    </row>
    <row r="100" spans="1:25" ht="12.75" customHeight="1" x14ac:dyDescent="0.25">
      <c r="A100" s="7">
        <v>25</v>
      </c>
      <c r="B100" s="41" t="s">
        <v>20</v>
      </c>
      <c r="C100" s="49"/>
      <c r="D100" s="49"/>
      <c r="E100" s="49"/>
      <c r="F100" s="49"/>
      <c r="L100" s="20">
        <f>IF(AND(C100=OFICIAL!C94,OFICIAL!C94="X"),1,0)</f>
        <v>0</v>
      </c>
      <c r="M100" s="20">
        <f>IF(AND(D100=OFICIAL!D94,OFICIAL!D94="X"),2,0)</f>
        <v>0</v>
      </c>
      <c r="N100" s="20">
        <f>IF(AND(E100=OFICIAL!E94,OFICIAL!E94="X"),5,0)</f>
        <v>0</v>
      </c>
      <c r="O100" s="20">
        <f>IF(AND(F100=OFICIAL!F94,OFICIAL!F94="X"),8,0)</f>
        <v>0</v>
      </c>
      <c r="S100" s="20">
        <f t="shared" si="24"/>
        <v>0</v>
      </c>
      <c r="X100" s="7"/>
      <c r="Y100" s="7"/>
    </row>
    <row r="101" spans="1:25" ht="12.75" customHeight="1" x14ac:dyDescent="0.25">
      <c r="A101" s="7">
        <v>26</v>
      </c>
      <c r="B101" s="39" t="s">
        <v>80</v>
      </c>
      <c r="C101" s="49"/>
      <c r="D101" s="49"/>
      <c r="E101" s="49"/>
      <c r="F101" s="49"/>
      <c r="L101" s="20">
        <f>IF(AND(C101=OFICIAL!C95,OFICIAL!C95="X"),1,0)</f>
        <v>0</v>
      </c>
      <c r="M101" s="20">
        <f>IF(AND(D101=OFICIAL!D95,OFICIAL!D95="X"),2,0)</f>
        <v>0</v>
      </c>
      <c r="N101" s="20">
        <f>IF(AND(E101=OFICIAL!E95,OFICIAL!E95="X"),5,0)</f>
        <v>0</v>
      </c>
      <c r="O101" s="20">
        <f>IF(AND(F101=OFICIAL!F95,OFICIAL!F95="X"),8,0)</f>
        <v>0</v>
      </c>
      <c r="S101" s="20">
        <f t="shared" si="24"/>
        <v>0</v>
      </c>
      <c r="X101" s="7"/>
      <c r="Y101" s="7"/>
    </row>
    <row r="102" spans="1:25" ht="12.75" customHeight="1" x14ac:dyDescent="0.25">
      <c r="A102" s="7">
        <v>27</v>
      </c>
      <c r="B102" s="41" t="s">
        <v>23</v>
      </c>
      <c r="C102" s="50"/>
      <c r="D102" s="50"/>
      <c r="E102" s="49"/>
      <c r="F102" s="49"/>
      <c r="L102" s="20">
        <f>IF(AND(C102=OFICIAL!C96,OFICIAL!C96="X"),1,0)</f>
        <v>0</v>
      </c>
      <c r="M102" s="20">
        <f>IF(AND(D102=OFICIAL!D96,OFICIAL!D96="X"),2,0)</f>
        <v>0</v>
      </c>
      <c r="N102" s="20">
        <f>IF(AND(E102=OFICIAL!E96,OFICIAL!E96="X"),5,0)</f>
        <v>0</v>
      </c>
      <c r="O102" s="20">
        <f>IF(AND(F102=OFICIAL!F96,OFICIAL!F96="X"),8,0)</f>
        <v>0</v>
      </c>
      <c r="S102" s="20">
        <f t="shared" si="24"/>
        <v>0</v>
      </c>
      <c r="X102" s="7"/>
      <c r="Y102" s="7"/>
    </row>
    <row r="103" spans="1:25" ht="12.75" customHeight="1" x14ac:dyDescent="0.25">
      <c r="A103" s="7">
        <v>28</v>
      </c>
      <c r="B103" s="39" t="s">
        <v>16</v>
      </c>
      <c r="C103" s="49"/>
      <c r="D103" s="49"/>
      <c r="E103" s="49"/>
      <c r="F103" s="49"/>
      <c r="L103" s="20">
        <f>IF(AND(C103=OFICIAL!C97,OFICIAL!C97="X"),1,0)</f>
        <v>0</v>
      </c>
      <c r="M103" s="20">
        <f>IF(AND(D103=OFICIAL!D97,OFICIAL!D97="X"),2,0)</f>
        <v>0</v>
      </c>
      <c r="N103" s="20">
        <f>IF(AND(E103=OFICIAL!E97,OFICIAL!E97="X"),5,0)</f>
        <v>0</v>
      </c>
      <c r="O103" s="20">
        <f>IF(AND(F103=OFICIAL!F97,OFICIAL!F97="X"),8,0)</f>
        <v>0</v>
      </c>
      <c r="S103" s="20">
        <f t="shared" si="24"/>
        <v>0</v>
      </c>
      <c r="X103" s="7"/>
      <c r="Y103" s="7"/>
    </row>
    <row r="104" spans="1:25" ht="12.75" customHeight="1" x14ac:dyDescent="0.25">
      <c r="A104" s="7">
        <v>29</v>
      </c>
      <c r="B104" s="41" t="s">
        <v>19</v>
      </c>
      <c r="C104" s="49"/>
      <c r="D104" s="49"/>
      <c r="E104" s="49"/>
      <c r="F104" s="49"/>
      <c r="L104" s="20">
        <f>IF(AND(C104=OFICIAL!C98,OFICIAL!C98="X"),1,0)</f>
        <v>0</v>
      </c>
      <c r="M104" s="20">
        <f>IF(AND(D104=OFICIAL!D98,OFICIAL!D98="X"),2,0)</f>
        <v>0</v>
      </c>
      <c r="N104" s="20">
        <f>IF(AND(E104=OFICIAL!E98,OFICIAL!E98="X"),5,0)</f>
        <v>0</v>
      </c>
      <c r="O104" s="20">
        <f>IF(AND(F104=OFICIAL!F98,OFICIAL!F98="X"),8,0)</f>
        <v>0</v>
      </c>
      <c r="S104" s="20">
        <f t="shared" si="24"/>
        <v>0</v>
      </c>
      <c r="X104" s="7"/>
      <c r="Y104" s="7"/>
    </row>
    <row r="105" spans="1:25" ht="12.75" customHeight="1" x14ac:dyDescent="0.25">
      <c r="A105" s="7">
        <v>30</v>
      </c>
      <c r="B105" s="39" t="s">
        <v>13</v>
      </c>
      <c r="C105" s="49"/>
      <c r="D105" s="49"/>
      <c r="E105" s="49"/>
      <c r="F105" s="49"/>
      <c r="L105" s="20">
        <f>IF(AND(C105=OFICIAL!C99,OFICIAL!C99="X"),1,0)</f>
        <v>0</v>
      </c>
      <c r="M105" s="20">
        <f>IF(AND(D105=OFICIAL!D99,OFICIAL!D99="X"),2,0)</f>
        <v>0</v>
      </c>
      <c r="N105" s="20">
        <f>IF(AND(E105=OFICIAL!E99,OFICIAL!E99="X"),5,0)</f>
        <v>0</v>
      </c>
      <c r="O105" s="20">
        <f>IF(AND(F105=OFICIAL!F99,OFICIAL!F99="X"),8,0)</f>
        <v>0</v>
      </c>
      <c r="S105" s="20">
        <f t="shared" si="24"/>
        <v>0</v>
      </c>
      <c r="X105" s="7"/>
      <c r="Y105" s="7"/>
    </row>
    <row r="106" spans="1:25" ht="12.75" customHeight="1" x14ac:dyDescent="0.25">
      <c r="A106" s="7">
        <v>31</v>
      </c>
      <c r="B106" s="41" t="s">
        <v>4</v>
      </c>
      <c r="C106" s="49"/>
      <c r="D106" s="50"/>
      <c r="E106" s="49"/>
      <c r="F106" s="49"/>
      <c r="L106" s="20">
        <f>IF(AND(C106=OFICIAL!C100,OFICIAL!C100="X"),1,0)</f>
        <v>0</v>
      </c>
      <c r="M106" s="20">
        <f>IF(AND(D106=OFICIAL!D100,OFICIAL!D100="X"),2,0)</f>
        <v>0</v>
      </c>
      <c r="N106" s="20">
        <f>IF(AND(E106=OFICIAL!E100,OFICIAL!E100="X"),5,0)</f>
        <v>0</v>
      </c>
      <c r="O106" s="20">
        <f>IF(AND(F106=OFICIAL!F100,OFICIAL!F100="X"),8,0)</f>
        <v>0</v>
      </c>
      <c r="S106" s="20">
        <f t="shared" si="24"/>
        <v>0</v>
      </c>
      <c r="X106" s="7"/>
      <c r="Y106" s="7"/>
    </row>
    <row r="107" spans="1:25" ht="12.75" customHeight="1" x14ac:dyDescent="0.25">
      <c r="A107" s="7">
        <v>32</v>
      </c>
      <c r="B107" s="39" t="s">
        <v>91</v>
      </c>
      <c r="C107" s="49"/>
      <c r="D107" s="49"/>
      <c r="E107" s="49"/>
      <c r="F107" s="49"/>
      <c r="L107" s="20">
        <f>IF(AND(C107=OFICIAL!C101,OFICIAL!C101="X"),1,0)</f>
        <v>0</v>
      </c>
      <c r="M107" s="20">
        <f>IF(AND(D107=OFICIAL!D101,OFICIAL!D101="X"),2,0)</f>
        <v>0</v>
      </c>
      <c r="N107" s="20">
        <f>IF(AND(E107=OFICIAL!E101,OFICIAL!E101="X"),5,0)</f>
        <v>0</v>
      </c>
      <c r="O107" s="20">
        <f>IF(AND(F107=OFICIAL!F101,OFICIAL!F101="X"),8,0)</f>
        <v>0</v>
      </c>
      <c r="S107" s="20">
        <f t="shared" si="24"/>
        <v>0</v>
      </c>
      <c r="X107" s="7"/>
      <c r="Y107" s="7"/>
    </row>
    <row r="108" spans="1:25" ht="12.75" customHeight="1" thickBot="1" x14ac:dyDescent="0.25"/>
    <row r="109" spans="1:25" s="12" customFormat="1" ht="12.75" customHeight="1" thickBot="1" x14ac:dyDescent="0.25">
      <c r="A109" s="10"/>
      <c r="B109" s="11" t="s">
        <v>45</v>
      </c>
      <c r="D109" s="13"/>
      <c r="E109" s="13"/>
      <c r="F109" s="13"/>
      <c r="G109" s="10"/>
      <c r="H109" s="10"/>
      <c r="I109" s="11"/>
      <c r="J109" s="10"/>
      <c r="K109" s="10"/>
      <c r="L109" s="23">
        <f>SUM(L76:L108)</f>
        <v>0</v>
      </c>
      <c r="M109" s="23">
        <f>SUM(M76:M108)</f>
        <v>0</v>
      </c>
      <c r="N109" s="23">
        <f>SUM(N76:N108)</f>
        <v>0</v>
      </c>
      <c r="O109" s="23">
        <f>SUM(O76:O108)</f>
        <v>0</v>
      </c>
      <c r="P109" s="7"/>
      <c r="Q109" s="115">
        <f>SUM(S76:S108)</f>
        <v>0</v>
      </c>
      <c r="R109" s="116"/>
      <c r="S109" s="117"/>
      <c r="U109" s="1"/>
      <c r="V109" s="1"/>
      <c r="W109" s="1"/>
    </row>
    <row r="111" spans="1:25" ht="12.75" customHeight="1" x14ac:dyDescent="0.2">
      <c r="A111" s="11" t="s">
        <v>33</v>
      </c>
    </row>
    <row r="113" spans="1:19" ht="12.75" customHeight="1" x14ac:dyDescent="0.2">
      <c r="A113" s="7" t="s">
        <v>63</v>
      </c>
      <c r="B113" s="51"/>
      <c r="D113" s="25" t="s">
        <v>69</v>
      </c>
      <c r="S113" s="20">
        <f>IF(B113=OFICIAL!B105,10,0)</f>
        <v>10</v>
      </c>
    </row>
    <row r="114" spans="1:19" ht="12.75" customHeight="1" x14ac:dyDescent="0.2">
      <c r="A114" s="7" t="s">
        <v>64</v>
      </c>
      <c r="B114" s="51"/>
      <c r="D114" s="25" t="s">
        <v>70</v>
      </c>
      <c r="S114" s="20">
        <f>IF(B114=OFICIAL!B106,8,0)</f>
        <v>8</v>
      </c>
    </row>
    <row r="115" spans="1:19" ht="12.75" customHeight="1" x14ac:dyDescent="0.2">
      <c r="A115" s="7" t="s">
        <v>65</v>
      </c>
      <c r="B115" s="51"/>
      <c r="D115" s="25" t="s">
        <v>71</v>
      </c>
      <c r="S115" s="20">
        <f>IF(B115=OFICIAL!B107,6,0)</f>
        <v>6</v>
      </c>
    </row>
    <row r="116" spans="1:19" ht="12.75" customHeight="1" x14ac:dyDescent="0.2">
      <c r="A116" s="7" t="s">
        <v>66</v>
      </c>
      <c r="B116" s="51"/>
      <c r="D116" s="25" t="s">
        <v>72</v>
      </c>
      <c r="S116" s="20">
        <f>IF(B116=OFICIAL!B108,4,0)</f>
        <v>4</v>
      </c>
    </row>
    <row r="117" spans="1:19" ht="12.75" customHeight="1" thickBot="1" x14ac:dyDescent="0.25"/>
    <row r="118" spans="1:19" ht="12.75" customHeight="1" thickBot="1" x14ac:dyDescent="0.25">
      <c r="B118" s="11" t="s">
        <v>67</v>
      </c>
      <c r="Q118" s="115">
        <f>SUM(S113:S116)</f>
        <v>28</v>
      </c>
      <c r="R118" s="116"/>
      <c r="S118" s="117"/>
    </row>
    <row r="120" spans="1:19" ht="12.75" customHeight="1" x14ac:dyDescent="0.2">
      <c r="A120" s="11" t="s">
        <v>46</v>
      </c>
      <c r="B120" s="1"/>
    </row>
    <row r="121" spans="1:19" ht="12.75" customHeight="1" x14ac:dyDescent="0.2">
      <c r="B121" s="25" t="s">
        <v>47</v>
      </c>
    </row>
    <row r="123" spans="1:19" ht="12.75" customHeight="1" x14ac:dyDescent="0.2">
      <c r="B123" s="118"/>
      <c r="C123" s="118"/>
      <c r="D123" s="118"/>
      <c r="E123" s="118"/>
      <c r="F123" s="118"/>
      <c r="G123" s="118"/>
      <c r="H123" s="118"/>
      <c r="I123" s="118"/>
      <c r="S123" s="20"/>
    </row>
    <row r="124" spans="1:19" ht="12.75" customHeight="1" x14ac:dyDescent="0.2">
      <c r="B124" s="118"/>
      <c r="C124" s="118"/>
      <c r="D124" s="118"/>
      <c r="E124" s="118"/>
      <c r="F124" s="118"/>
      <c r="G124" s="118"/>
      <c r="H124" s="118"/>
      <c r="I124" s="118"/>
      <c r="S124" s="20"/>
    </row>
    <row r="125" spans="1:19" ht="12.75" customHeight="1" x14ac:dyDescent="0.2">
      <c r="B125" s="118"/>
      <c r="C125" s="118"/>
      <c r="D125" s="118"/>
      <c r="E125" s="118"/>
      <c r="F125" s="118"/>
      <c r="G125" s="118"/>
      <c r="H125" s="118"/>
      <c r="I125" s="118"/>
      <c r="S125" s="20"/>
    </row>
    <row r="126" spans="1:19" ht="12.75" customHeight="1" thickBot="1" x14ac:dyDescent="0.25"/>
    <row r="127" spans="1:19" ht="12.75" customHeight="1" thickBot="1" x14ac:dyDescent="0.25">
      <c r="B127" s="11" t="s">
        <v>48</v>
      </c>
      <c r="Q127" s="115">
        <f>SUM(S123:S125)</f>
        <v>0</v>
      </c>
      <c r="R127" s="116"/>
      <c r="S127" s="117"/>
    </row>
    <row r="129" spans="1:19" ht="12.75" customHeight="1" x14ac:dyDescent="0.2">
      <c r="A129" s="11" t="s">
        <v>73</v>
      </c>
      <c r="B129" s="1"/>
    </row>
    <row r="131" spans="1:19" ht="12.75" customHeight="1" x14ac:dyDescent="0.2">
      <c r="B131" s="120" t="s">
        <v>49</v>
      </c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Q131" s="121">
        <f>Q68</f>
        <v>192</v>
      </c>
      <c r="R131" s="121"/>
      <c r="S131" s="121"/>
    </row>
    <row r="132" spans="1:19" ht="12.75" customHeight="1" x14ac:dyDescent="0.2">
      <c r="B132" s="120" t="s">
        <v>50</v>
      </c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Q132" s="121">
        <f>Q109</f>
        <v>0</v>
      </c>
      <c r="R132" s="121"/>
      <c r="S132" s="121"/>
    </row>
    <row r="133" spans="1:19" ht="12.75" customHeight="1" x14ac:dyDescent="0.2">
      <c r="B133" s="120" t="s">
        <v>68</v>
      </c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Q133" s="121">
        <f>Q118</f>
        <v>28</v>
      </c>
      <c r="R133" s="121"/>
      <c r="S133" s="121"/>
    </row>
    <row r="134" spans="1:19" ht="12.75" customHeight="1" x14ac:dyDescent="0.2">
      <c r="B134" s="120" t="s">
        <v>51</v>
      </c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Q134" s="121">
        <f>Q127</f>
        <v>0</v>
      </c>
      <c r="R134" s="121"/>
      <c r="S134" s="121"/>
    </row>
    <row r="135" spans="1:19" s="12" customFormat="1" ht="12.75" customHeight="1" x14ac:dyDescent="0.2">
      <c r="A135" s="10"/>
      <c r="B135" s="122" t="s">
        <v>52</v>
      </c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0"/>
      <c r="Q135" s="123">
        <f>SUM(Q131:S134)</f>
        <v>220</v>
      </c>
      <c r="R135" s="123"/>
      <c r="S135" s="123"/>
    </row>
  </sheetData>
  <mergeCells count="197">
    <mergeCell ref="B134:O134"/>
    <mergeCell ref="Q134:S134"/>
    <mergeCell ref="B135:O135"/>
    <mergeCell ref="Q135:S135"/>
    <mergeCell ref="Q127:S127"/>
    <mergeCell ref="B131:O131"/>
    <mergeCell ref="Q131:S131"/>
    <mergeCell ref="B132:O132"/>
    <mergeCell ref="Q132:S132"/>
    <mergeCell ref="B133:O133"/>
    <mergeCell ref="Q133:S133"/>
    <mergeCell ref="L74:O74"/>
    <mergeCell ref="Q109:S109"/>
    <mergeCell ref="Q118:S118"/>
    <mergeCell ref="B123:I123"/>
    <mergeCell ref="B124:I124"/>
    <mergeCell ref="B125:I125"/>
    <mergeCell ref="D65:F65"/>
    <mergeCell ref="L65:M65"/>
    <mergeCell ref="N65:O65"/>
    <mergeCell ref="Q68:S68"/>
    <mergeCell ref="A70:B70"/>
    <mergeCell ref="C70:O70"/>
    <mergeCell ref="D63:F63"/>
    <mergeCell ref="L63:M63"/>
    <mergeCell ref="N63:O63"/>
    <mergeCell ref="D64:F64"/>
    <mergeCell ref="L64:M64"/>
    <mergeCell ref="N64:O64"/>
    <mergeCell ref="D61:F61"/>
    <mergeCell ref="L61:M61"/>
    <mergeCell ref="N61:O61"/>
    <mergeCell ref="D62:F62"/>
    <mergeCell ref="L62:M62"/>
    <mergeCell ref="N62:O62"/>
    <mergeCell ref="D59:F59"/>
    <mergeCell ref="L59:M59"/>
    <mergeCell ref="N59:O59"/>
    <mergeCell ref="D60:F60"/>
    <mergeCell ref="L60:M60"/>
    <mergeCell ref="N60:O60"/>
    <mergeCell ref="D57:F57"/>
    <mergeCell ref="L57:M57"/>
    <mergeCell ref="N57:O57"/>
    <mergeCell ref="D58:F58"/>
    <mergeCell ref="L58:M58"/>
    <mergeCell ref="N58:O58"/>
    <mergeCell ref="D55:F55"/>
    <mergeCell ref="L55:M55"/>
    <mergeCell ref="N55:O55"/>
    <mergeCell ref="D56:F56"/>
    <mergeCell ref="L56:M56"/>
    <mergeCell ref="N56:O56"/>
    <mergeCell ref="D53:F53"/>
    <mergeCell ref="L53:M53"/>
    <mergeCell ref="N53:O53"/>
    <mergeCell ref="D54:F54"/>
    <mergeCell ref="L54:M54"/>
    <mergeCell ref="N54:O54"/>
    <mergeCell ref="D51:F51"/>
    <mergeCell ref="L51:M51"/>
    <mergeCell ref="N51:O51"/>
    <mergeCell ref="D52:F52"/>
    <mergeCell ref="L52:M52"/>
    <mergeCell ref="N52:O52"/>
    <mergeCell ref="D49:F49"/>
    <mergeCell ref="L49:M49"/>
    <mergeCell ref="N49:O49"/>
    <mergeCell ref="D50:F50"/>
    <mergeCell ref="L50:M50"/>
    <mergeCell ref="N50:O50"/>
    <mergeCell ref="D47:F47"/>
    <mergeCell ref="L47:M47"/>
    <mergeCell ref="N47:O47"/>
    <mergeCell ref="D48:F48"/>
    <mergeCell ref="L48:M48"/>
    <mergeCell ref="N48:O48"/>
    <mergeCell ref="D45:F45"/>
    <mergeCell ref="L45:M45"/>
    <mergeCell ref="N45:O45"/>
    <mergeCell ref="D46:F46"/>
    <mergeCell ref="L46:M46"/>
    <mergeCell ref="N46:O46"/>
    <mergeCell ref="D43:F43"/>
    <mergeCell ref="L43:M43"/>
    <mergeCell ref="N43:O43"/>
    <mergeCell ref="D44:F44"/>
    <mergeCell ref="L44:M44"/>
    <mergeCell ref="N44:O44"/>
    <mergeCell ref="D41:F41"/>
    <mergeCell ref="L41:M41"/>
    <mergeCell ref="N41:O41"/>
    <mergeCell ref="D42:F42"/>
    <mergeCell ref="L42:M42"/>
    <mergeCell ref="N42:O42"/>
    <mergeCell ref="D39:F39"/>
    <mergeCell ref="L39:M39"/>
    <mergeCell ref="N39:O39"/>
    <mergeCell ref="D40:F40"/>
    <mergeCell ref="L40:M40"/>
    <mergeCell ref="N40:O40"/>
    <mergeCell ref="D37:F37"/>
    <mergeCell ref="L37:M37"/>
    <mergeCell ref="N37:O37"/>
    <mergeCell ref="D38:F38"/>
    <mergeCell ref="L38:M38"/>
    <mergeCell ref="N38:O38"/>
    <mergeCell ref="D35:F35"/>
    <mergeCell ref="L35:M35"/>
    <mergeCell ref="N35:O35"/>
    <mergeCell ref="D36:F36"/>
    <mergeCell ref="L36:M36"/>
    <mergeCell ref="N36:O36"/>
    <mergeCell ref="D33:F33"/>
    <mergeCell ref="L33:M33"/>
    <mergeCell ref="N33:O33"/>
    <mergeCell ref="D34:F34"/>
    <mergeCell ref="L34:M34"/>
    <mergeCell ref="N34:O34"/>
    <mergeCell ref="D31:F31"/>
    <mergeCell ref="L31:M31"/>
    <mergeCell ref="N31:O31"/>
    <mergeCell ref="D32:F32"/>
    <mergeCell ref="L32:M32"/>
    <mergeCell ref="N32:O32"/>
    <mergeCell ref="D29:F29"/>
    <mergeCell ref="L29:M29"/>
    <mergeCell ref="N29:O29"/>
    <mergeCell ref="D30:F30"/>
    <mergeCell ref="L30:M30"/>
    <mergeCell ref="N30:O30"/>
    <mergeCell ref="D27:F27"/>
    <mergeCell ref="L27:M27"/>
    <mergeCell ref="N27:O27"/>
    <mergeCell ref="D28:F28"/>
    <mergeCell ref="L28:M28"/>
    <mergeCell ref="N28:O28"/>
    <mergeCell ref="D25:F25"/>
    <mergeCell ref="L25:M25"/>
    <mergeCell ref="N25:O25"/>
    <mergeCell ref="D26:F26"/>
    <mergeCell ref="L26:M26"/>
    <mergeCell ref="N26:O26"/>
    <mergeCell ref="D23:F23"/>
    <mergeCell ref="L23:M23"/>
    <mergeCell ref="N23:O23"/>
    <mergeCell ref="D24:F24"/>
    <mergeCell ref="L24:M24"/>
    <mergeCell ref="N24:O24"/>
    <mergeCell ref="D21:F21"/>
    <mergeCell ref="L21:M21"/>
    <mergeCell ref="N21:O21"/>
    <mergeCell ref="D22:F22"/>
    <mergeCell ref="L22:M22"/>
    <mergeCell ref="N22:O22"/>
    <mergeCell ref="D19:F19"/>
    <mergeCell ref="L19:M19"/>
    <mergeCell ref="N19:O19"/>
    <mergeCell ref="D20:F20"/>
    <mergeCell ref="L20:M20"/>
    <mergeCell ref="N20:O20"/>
    <mergeCell ref="D17:F17"/>
    <mergeCell ref="L17:M17"/>
    <mergeCell ref="N17:O17"/>
    <mergeCell ref="D18:F18"/>
    <mergeCell ref="L18:M18"/>
    <mergeCell ref="N18:O18"/>
    <mergeCell ref="L14:M14"/>
    <mergeCell ref="N14:O14"/>
    <mergeCell ref="L15:M15"/>
    <mergeCell ref="N15:O15"/>
    <mergeCell ref="L16:M16"/>
    <mergeCell ref="N16:O16"/>
    <mergeCell ref="D12:F12"/>
    <mergeCell ref="L12:M12"/>
    <mergeCell ref="N12:O12"/>
    <mergeCell ref="D13:F13"/>
    <mergeCell ref="L13:M13"/>
    <mergeCell ref="N13:O13"/>
    <mergeCell ref="D14:F14"/>
    <mergeCell ref="D15:F15"/>
    <mergeCell ref="D16:F16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629" priority="67" stopIfTrue="1" operator="lessThan">
      <formula>0</formula>
    </cfRule>
  </conditionalFormatting>
  <conditionalFormatting sqref="C99:D101">
    <cfRule type="cellIs" dxfId="628" priority="66" stopIfTrue="1" operator="lessThan">
      <formula>0</formula>
    </cfRule>
  </conditionalFormatting>
  <conditionalFormatting sqref="D11:F16">
    <cfRule type="cellIs" dxfId="627" priority="1" stopIfTrue="1" operator="lessThan">
      <formula>0</formula>
    </cfRule>
  </conditionalFormatting>
  <conditionalFormatting sqref="G11:H16 G18:H23 G25:H30 G32:H37 G39:H44 G46:H51 G53:H58 G60:H65">
    <cfRule type="cellIs" dxfId="626" priority="68" stopIfTrue="1" operator="equal">
      <formula>-1</formula>
    </cfRule>
  </conditionalFormatting>
  <conditionalFormatting sqref="L18:M18">
    <cfRule type="cellIs" dxfId="625" priority="30" stopIfTrue="1" operator="equal">
      <formula>-1</formula>
    </cfRule>
  </conditionalFormatting>
  <conditionalFormatting sqref="L25:M25">
    <cfRule type="cellIs" dxfId="624" priority="27" stopIfTrue="1" operator="equal">
      <formula>-1</formula>
    </cfRule>
  </conditionalFormatting>
  <conditionalFormatting sqref="L32:M32">
    <cfRule type="cellIs" dxfId="623" priority="24" stopIfTrue="1" operator="equal">
      <formula>-1</formula>
    </cfRule>
  </conditionalFormatting>
  <conditionalFormatting sqref="L39:M39">
    <cfRule type="cellIs" dxfId="622" priority="21" stopIfTrue="1" operator="equal">
      <formula>-1</formula>
    </cfRule>
  </conditionalFormatting>
  <conditionalFormatting sqref="L46:M46">
    <cfRule type="cellIs" dxfId="621" priority="18" stopIfTrue="1" operator="equal">
      <formula>-1</formula>
    </cfRule>
  </conditionalFormatting>
  <conditionalFormatting sqref="L53:M53">
    <cfRule type="cellIs" dxfId="620" priority="15" stopIfTrue="1" operator="equal">
      <formula>-1</formula>
    </cfRule>
  </conditionalFormatting>
  <conditionalFormatting sqref="L60:M60">
    <cfRule type="cellIs" dxfId="619" priority="12" stopIfTrue="1" operator="equal">
      <formula>-1</formula>
    </cfRule>
  </conditionalFormatting>
  <conditionalFormatting sqref="L11:O16">
    <cfRule type="cellIs" dxfId="618" priority="63" stopIfTrue="1" operator="equal">
      <formula>-1</formula>
    </cfRule>
    <cfRule type="cellIs" dxfId="617" priority="32" stopIfTrue="1" operator="equal">
      <formula>-1</formula>
    </cfRule>
  </conditionalFormatting>
  <conditionalFormatting sqref="L18:O23">
    <cfRule type="cellIs" dxfId="616" priority="10" stopIfTrue="1" operator="equal">
      <formula>-1</formula>
    </cfRule>
    <cfRule type="cellIs" dxfId="615" priority="41" stopIfTrue="1" operator="equal">
      <formula>-1</formula>
    </cfRule>
  </conditionalFormatting>
  <conditionalFormatting sqref="L25:O30">
    <cfRule type="cellIs" dxfId="614" priority="9" stopIfTrue="1" operator="equal">
      <formula>-1</formula>
    </cfRule>
    <cfRule type="cellIs" dxfId="613" priority="40" stopIfTrue="1" operator="equal">
      <formula>-1</formula>
    </cfRule>
  </conditionalFormatting>
  <conditionalFormatting sqref="L32:O37">
    <cfRule type="cellIs" dxfId="612" priority="8" stopIfTrue="1" operator="equal">
      <formula>-1</formula>
    </cfRule>
    <cfRule type="cellIs" dxfId="611" priority="39" stopIfTrue="1" operator="equal">
      <formula>-1</formula>
    </cfRule>
  </conditionalFormatting>
  <conditionalFormatting sqref="L39:O44">
    <cfRule type="cellIs" dxfId="610" priority="7" stopIfTrue="1" operator="equal">
      <formula>-1</formula>
    </cfRule>
    <cfRule type="cellIs" dxfId="609" priority="38" stopIfTrue="1" operator="equal">
      <formula>-1</formula>
    </cfRule>
  </conditionalFormatting>
  <conditionalFormatting sqref="L46:O51">
    <cfRule type="cellIs" dxfId="608" priority="6" stopIfTrue="1" operator="equal">
      <formula>-1</formula>
    </cfRule>
    <cfRule type="cellIs" dxfId="607" priority="37" stopIfTrue="1" operator="equal">
      <formula>-1</formula>
    </cfRule>
  </conditionalFormatting>
  <conditionalFormatting sqref="L53:O58">
    <cfRule type="cellIs" dxfId="606" priority="5" stopIfTrue="1" operator="equal">
      <formula>-1</formula>
    </cfRule>
    <cfRule type="cellIs" dxfId="605" priority="36" stopIfTrue="1" operator="equal">
      <formula>-1</formula>
    </cfRule>
  </conditionalFormatting>
  <conditionalFormatting sqref="L60:O65">
    <cfRule type="cellIs" dxfId="604" priority="4" stopIfTrue="1" operator="equal">
      <formula>-1</formula>
    </cfRule>
    <cfRule type="cellIs" dxfId="603" priority="35" stopIfTrue="1" operator="equal">
      <formula>-1</formula>
    </cfRule>
  </conditionalFormatting>
  <conditionalFormatting sqref="L76:O107">
    <cfRule type="cellIs" dxfId="602" priority="3" stopIfTrue="1" operator="lessThan">
      <formula>0</formula>
    </cfRule>
  </conditionalFormatting>
  <conditionalFormatting sqref="N11:N65">
    <cfRule type="cellIs" dxfId="601" priority="33" stopIfTrue="1" operator="equal">
      <formula>-1</formula>
    </cfRule>
    <cfRule type="cellIs" dxfId="60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599" priority="70" stopIfTrue="1" operator="lessThan">
      <formula>0</formula>
    </cfRule>
  </conditionalFormatting>
  <conditionalFormatting sqref="N11:O65">
    <cfRule type="cellIs" dxfId="598" priority="34" stopIfTrue="1" operator="lessThan">
      <formula>0</formula>
    </cfRule>
    <cfRule type="cellIs" dxfId="597" priority="65" stopIfTrue="1" operator="lessThan">
      <formula>0</formula>
    </cfRule>
  </conditionalFormatting>
  <conditionalFormatting sqref="O11:O16 N11:N65 O18:O23 O25:O30 O32:O37 O39:O44 O46:O51 O53:O58 O60:O65">
    <cfRule type="cellIs" dxfId="596" priority="69" stopIfTrue="1" operator="equal">
      <formula>-1</formula>
    </cfRule>
  </conditionalFormatting>
  <conditionalFormatting sqref="S113:S116">
    <cfRule type="cellIs" dxfId="59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B7F3-C411-4661-82F4-1314900894AE}">
  <dimension ref="A3:H19"/>
  <sheetViews>
    <sheetView workbookViewId="0">
      <selection activeCell="H7" sqref="H7"/>
    </sheetView>
  </sheetViews>
  <sheetFormatPr baseColWidth="10" defaultRowHeight="15" x14ac:dyDescent="0.25"/>
  <sheetData>
    <row r="3" spans="1:8" x14ac:dyDescent="0.25">
      <c r="A3" t="s">
        <v>99</v>
      </c>
      <c r="H3" t="s">
        <v>108</v>
      </c>
    </row>
    <row r="4" spans="1:8" x14ac:dyDescent="0.25">
      <c r="A4" t="s">
        <v>100</v>
      </c>
      <c r="B4" t="s">
        <v>107</v>
      </c>
      <c r="G4" t="s">
        <v>107</v>
      </c>
      <c r="H4" t="s">
        <v>109</v>
      </c>
    </row>
    <row r="6" spans="1:8" x14ac:dyDescent="0.25">
      <c r="C6" t="s">
        <v>107</v>
      </c>
      <c r="F6" t="s">
        <v>107</v>
      </c>
    </row>
    <row r="8" spans="1:8" x14ac:dyDescent="0.25">
      <c r="A8" t="s">
        <v>101</v>
      </c>
      <c r="B8" t="s">
        <v>107</v>
      </c>
      <c r="G8" t="s">
        <v>107</v>
      </c>
      <c r="H8" t="s">
        <v>110</v>
      </c>
    </row>
    <row r="9" spans="1:8" x14ac:dyDescent="0.25">
      <c r="A9" t="s">
        <v>102</v>
      </c>
      <c r="H9" t="s">
        <v>111</v>
      </c>
    </row>
    <row r="11" spans="1:8" x14ac:dyDescent="0.25">
      <c r="D11" t="s">
        <v>107</v>
      </c>
      <c r="E11" t="s">
        <v>107</v>
      </c>
    </row>
    <row r="13" spans="1:8" x14ac:dyDescent="0.25">
      <c r="A13" t="s">
        <v>103</v>
      </c>
      <c r="H13" t="s">
        <v>112</v>
      </c>
    </row>
    <row r="14" spans="1:8" x14ac:dyDescent="0.25">
      <c r="A14" t="s">
        <v>104</v>
      </c>
      <c r="B14" t="s">
        <v>107</v>
      </c>
      <c r="G14" t="s">
        <v>107</v>
      </c>
      <c r="H14" t="s">
        <v>113</v>
      </c>
    </row>
    <row r="16" spans="1:8" x14ac:dyDescent="0.25">
      <c r="C16" t="s">
        <v>107</v>
      </c>
      <c r="F16" t="s">
        <v>107</v>
      </c>
    </row>
    <row r="18" spans="1:8" x14ac:dyDescent="0.25">
      <c r="A18" t="s">
        <v>105</v>
      </c>
      <c r="B18" t="s">
        <v>107</v>
      </c>
      <c r="G18" t="s">
        <v>107</v>
      </c>
      <c r="H18" t="s">
        <v>114</v>
      </c>
    </row>
    <row r="19" spans="1:8" x14ac:dyDescent="0.25">
      <c r="A19" t="s">
        <v>106</v>
      </c>
      <c r="H19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DFBA-ADCE-45A6-BFB9-C18D7EE807F4}">
  <dimension ref="A1:AD135"/>
  <sheetViews>
    <sheetView tabSelected="1" workbookViewId="0">
      <pane ySplit="9" topLeftCell="A10" activePane="bottomLeft" state="frozen"/>
      <selection activeCell="H7" sqref="H7"/>
      <selection pane="bottomLeft" activeCell="H32" sqref="H32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97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3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4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0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1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1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1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5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0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0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1</v>
      </c>
      <c r="H36" s="66">
        <v>3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3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4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3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2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2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2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0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5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 t="s">
        <v>98</v>
      </c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 t="s">
        <v>98</v>
      </c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/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117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118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119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121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122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5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5</v>
      </c>
      <c r="R135" s="125"/>
      <c r="S135" s="125"/>
    </row>
  </sheetData>
  <sheetProtection algorithmName="SHA-512" hashValue="gKc/RJOonH3ck9ccpIs1DPvU9GUqNsxIlsdSjleCoakbx9dEbyFS4gJTP8nc7BcYHQ2ytQFhExTtLHuk9uBoXA==" saltValue="p2p6gN5AyoVISf7Mrs7d+Q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594" priority="67" stopIfTrue="1" operator="lessThan">
      <formula>0</formula>
    </cfRule>
  </conditionalFormatting>
  <conditionalFormatting sqref="C99:D101">
    <cfRule type="cellIs" dxfId="593" priority="66" stopIfTrue="1" operator="lessThan">
      <formula>0</formula>
    </cfRule>
  </conditionalFormatting>
  <conditionalFormatting sqref="D11:F16">
    <cfRule type="cellIs" dxfId="592" priority="1" stopIfTrue="1" operator="lessThan">
      <formula>0</formula>
    </cfRule>
  </conditionalFormatting>
  <conditionalFormatting sqref="G11:H16 G18:H23 G25:H30 G32:H37 G39:H44 G46:H51 G53:H58 G60:H65">
    <cfRule type="cellIs" dxfId="591" priority="68" stopIfTrue="1" operator="equal">
      <formula>-1</formula>
    </cfRule>
  </conditionalFormatting>
  <conditionalFormatting sqref="L18:M18">
    <cfRule type="cellIs" dxfId="590" priority="30" stopIfTrue="1" operator="equal">
      <formula>-1</formula>
    </cfRule>
  </conditionalFormatting>
  <conditionalFormatting sqref="L25:M25">
    <cfRule type="cellIs" dxfId="589" priority="27" stopIfTrue="1" operator="equal">
      <formula>-1</formula>
    </cfRule>
  </conditionalFormatting>
  <conditionalFormatting sqref="L32:M32">
    <cfRule type="cellIs" dxfId="588" priority="24" stopIfTrue="1" operator="equal">
      <formula>-1</formula>
    </cfRule>
  </conditionalFormatting>
  <conditionalFormatting sqref="L39:M39">
    <cfRule type="cellIs" dxfId="587" priority="21" stopIfTrue="1" operator="equal">
      <formula>-1</formula>
    </cfRule>
  </conditionalFormatting>
  <conditionalFormatting sqref="L46:M46">
    <cfRule type="cellIs" dxfId="586" priority="18" stopIfTrue="1" operator="equal">
      <formula>-1</formula>
    </cfRule>
  </conditionalFormatting>
  <conditionalFormatting sqref="L53:M53">
    <cfRule type="cellIs" dxfId="585" priority="15" stopIfTrue="1" operator="equal">
      <formula>-1</formula>
    </cfRule>
  </conditionalFormatting>
  <conditionalFormatting sqref="L60:M60">
    <cfRule type="cellIs" dxfId="584" priority="12" stopIfTrue="1" operator="equal">
      <formula>-1</formula>
    </cfRule>
  </conditionalFormatting>
  <conditionalFormatting sqref="L11:O16">
    <cfRule type="cellIs" dxfId="583" priority="63" stopIfTrue="1" operator="equal">
      <formula>-1</formula>
    </cfRule>
    <cfRule type="cellIs" dxfId="582" priority="32" stopIfTrue="1" operator="equal">
      <formula>-1</formula>
    </cfRule>
  </conditionalFormatting>
  <conditionalFormatting sqref="L18:O23">
    <cfRule type="cellIs" dxfId="581" priority="10" stopIfTrue="1" operator="equal">
      <formula>-1</formula>
    </cfRule>
    <cfRule type="cellIs" dxfId="580" priority="41" stopIfTrue="1" operator="equal">
      <formula>-1</formula>
    </cfRule>
  </conditionalFormatting>
  <conditionalFormatting sqref="L25:O30">
    <cfRule type="cellIs" dxfId="579" priority="9" stopIfTrue="1" operator="equal">
      <formula>-1</formula>
    </cfRule>
    <cfRule type="cellIs" dxfId="578" priority="40" stopIfTrue="1" operator="equal">
      <formula>-1</formula>
    </cfRule>
  </conditionalFormatting>
  <conditionalFormatting sqref="L32:O37">
    <cfRule type="cellIs" dxfId="577" priority="8" stopIfTrue="1" operator="equal">
      <formula>-1</formula>
    </cfRule>
    <cfRule type="cellIs" dxfId="576" priority="39" stopIfTrue="1" operator="equal">
      <formula>-1</formula>
    </cfRule>
  </conditionalFormatting>
  <conditionalFormatting sqref="L39:O44">
    <cfRule type="cellIs" dxfId="575" priority="7" stopIfTrue="1" operator="equal">
      <formula>-1</formula>
    </cfRule>
    <cfRule type="cellIs" dxfId="574" priority="38" stopIfTrue="1" operator="equal">
      <formula>-1</formula>
    </cfRule>
  </conditionalFormatting>
  <conditionalFormatting sqref="L46:O51">
    <cfRule type="cellIs" dxfId="573" priority="6" stopIfTrue="1" operator="equal">
      <formula>-1</formula>
    </cfRule>
    <cfRule type="cellIs" dxfId="572" priority="37" stopIfTrue="1" operator="equal">
      <formula>-1</formula>
    </cfRule>
  </conditionalFormatting>
  <conditionalFormatting sqref="L53:O58">
    <cfRule type="cellIs" dxfId="571" priority="5" stopIfTrue="1" operator="equal">
      <formula>-1</formula>
    </cfRule>
    <cfRule type="cellIs" dxfId="570" priority="36" stopIfTrue="1" operator="equal">
      <formula>-1</formula>
    </cfRule>
  </conditionalFormatting>
  <conditionalFormatting sqref="L60:O65">
    <cfRule type="cellIs" dxfId="569" priority="4" stopIfTrue="1" operator="equal">
      <formula>-1</formula>
    </cfRule>
    <cfRule type="cellIs" dxfId="568" priority="35" stopIfTrue="1" operator="equal">
      <formula>-1</formula>
    </cfRule>
  </conditionalFormatting>
  <conditionalFormatting sqref="L76:O107">
    <cfRule type="cellIs" dxfId="567" priority="3" stopIfTrue="1" operator="lessThan">
      <formula>0</formula>
    </cfRule>
  </conditionalFormatting>
  <conditionalFormatting sqref="N11:N65">
    <cfRule type="cellIs" dxfId="566" priority="33" stopIfTrue="1" operator="equal">
      <formula>-1</formula>
    </cfRule>
    <cfRule type="cellIs" dxfId="56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564" priority="70" stopIfTrue="1" operator="lessThan">
      <formula>0</formula>
    </cfRule>
  </conditionalFormatting>
  <conditionalFormatting sqref="N11:O65">
    <cfRule type="cellIs" dxfId="563" priority="34" stopIfTrue="1" operator="lessThan">
      <formula>0</formula>
    </cfRule>
    <cfRule type="cellIs" dxfId="562" priority="65" stopIfTrue="1" operator="lessThan">
      <formula>0</formula>
    </cfRule>
  </conditionalFormatting>
  <conditionalFormatting sqref="O11:O16 N11:N65 O18:O23 O25:O30 O32:O37 O39:O44 O46:O51 O53:O58 O60:O65">
    <cfRule type="cellIs" dxfId="561" priority="69" stopIfTrue="1" operator="equal">
      <formula>-1</formula>
    </cfRule>
  </conditionalFormatting>
  <conditionalFormatting sqref="S113:S116">
    <cfRule type="cellIs" dxfId="56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E7E8-95D7-48DD-BE5E-386A8A5D0C53}">
  <dimension ref="A1:AD135"/>
  <sheetViews>
    <sheetView workbookViewId="0">
      <pane ySplit="9" topLeftCell="A10" activePane="bottomLeft" state="frozen"/>
      <selection activeCell="H7" sqref="H7"/>
      <selection pane="bottomLeft" activeCell="J37" sqref="J3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123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3</v>
      </c>
      <c r="S11" s="68">
        <f t="shared" ref="S11:S16" si="2">Q11+R11</f>
        <v>4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1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1</v>
      </c>
      <c r="R12" s="68">
        <f t="shared" si="1"/>
        <v>0</v>
      </c>
      <c r="S12" s="68">
        <f t="shared" si="2"/>
        <v>1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2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3</v>
      </c>
      <c r="H21" s="66">
        <v>2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3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1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3</v>
      </c>
      <c r="H27" s="66">
        <v>1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3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3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1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1</v>
      </c>
      <c r="H44" s="66">
        <v>2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1</v>
      </c>
      <c r="R49" s="68">
        <f t="shared" si="16"/>
        <v>0</v>
      </c>
      <c r="S49" s="68">
        <f t="shared" si="17"/>
        <v>1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2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3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1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1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1</v>
      </c>
      <c r="R60" s="68">
        <f t="shared" ref="R60:R65" si="22">IF(AND(G60=L60,H60=N60,L60&gt;-1,G60&gt;-1),3,0)</f>
        <v>0</v>
      </c>
      <c r="S60" s="68">
        <f t="shared" ref="S60:S65" si="23">Q60+R60</f>
        <v>1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2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15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 t="s">
        <v>98</v>
      </c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 t="s">
        <v>98</v>
      </c>
      <c r="F104" s="88" t="s">
        <v>98</v>
      </c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124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125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126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127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128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15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15</v>
      </c>
      <c r="R135" s="125"/>
      <c r="S135" s="125"/>
    </row>
  </sheetData>
  <sheetProtection algorithmName="SHA-512" hashValue="SOAkzFlZbEsLwWVMONy/Tuewb9MirTqonWvISaRxO5SqqISG0Ascy4SiXBnFkznUPuzFkzts76Zjeabkds3SbQ==" saltValue="V666UVvS1yunwaCghC9jTQ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559" priority="67" stopIfTrue="1" operator="lessThan">
      <formula>0</formula>
    </cfRule>
  </conditionalFormatting>
  <conditionalFormatting sqref="C99:D101">
    <cfRule type="cellIs" dxfId="558" priority="66" stopIfTrue="1" operator="lessThan">
      <formula>0</formula>
    </cfRule>
  </conditionalFormatting>
  <conditionalFormatting sqref="D11:F16">
    <cfRule type="cellIs" dxfId="557" priority="1" stopIfTrue="1" operator="lessThan">
      <formula>0</formula>
    </cfRule>
  </conditionalFormatting>
  <conditionalFormatting sqref="G11:H16 G18:H23 G25:H30 G32:H37 G39:H44 G46:H51 G53:H58 G60:H65">
    <cfRule type="cellIs" dxfId="556" priority="68" stopIfTrue="1" operator="equal">
      <formula>-1</formula>
    </cfRule>
  </conditionalFormatting>
  <conditionalFormatting sqref="L18:M18">
    <cfRule type="cellIs" dxfId="555" priority="30" stopIfTrue="1" operator="equal">
      <formula>-1</formula>
    </cfRule>
  </conditionalFormatting>
  <conditionalFormatting sqref="L25:M25">
    <cfRule type="cellIs" dxfId="554" priority="27" stopIfTrue="1" operator="equal">
      <formula>-1</formula>
    </cfRule>
  </conditionalFormatting>
  <conditionalFormatting sqref="L32:M32">
    <cfRule type="cellIs" dxfId="553" priority="24" stopIfTrue="1" operator="equal">
      <formula>-1</formula>
    </cfRule>
  </conditionalFormatting>
  <conditionalFormatting sqref="L39:M39">
    <cfRule type="cellIs" dxfId="552" priority="21" stopIfTrue="1" operator="equal">
      <formula>-1</formula>
    </cfRule>
  </conditionalFormatting>
  <conditionalFormatting sqref="L46:M46">
    <cfRule type="cellIs" dxfId="551" priority="18" stopIfTrue="1" operator="equal">
      <formula>-1</formula>
    </cfRule>
  </conditionalFormatting>
  <conditionalFormatting sqref="L53:M53">
    <cfRule type="cellIs" dxfId="550" priority="15" stopIfTrue="1" operator="equal">
      <formula>-1</formula>
    </cfRule>
  </conditionalFormatting>
  <conditionalFormatting sqref="L60:M60">
    <cfRule type="cellIs" dxfId="549" priority="12" stopIfTrue="1" operator="equal">
      <formula>-1</formula>
    </cfRule>
  </conditionalFormatting>
  <conditionalFormatting sqref="L11:O16">
    <cfRule type="cellIs" dxfId="548" priority="63" stopIfTrue="1" operator="equal">
      <formula>-1</formula>
    </cfRule>
    <cfRule type="cellIs" dxfId="547" priority="32" stopIfTrue="1" operator="equal">
      <formula>-1</formula>
    </cfRule>
  </conditionalFormatting>
  <conditionalFormatting sqref="L18:O23">
    <cfRule type="cellIs" dxfId="546" priority="10" stopIfTrue="1" operator="equal">
      <formula>-1</formula>
    </cfRule>
    <cfRule type="cellIs" dxfId="545" priority="41" stopIfTrue="1" operator="equal">
      <formula>-1</formula>
    </cfRule>
  </conditionalFormatting>
  <conditionalFormatting sqref="L25:O30">
    <cfRule type="cellIs" dxfId="544" priority="9" stopIfTrue="1" operator="equal">
      <formula>-1</formula>
    </cfRule>
    <cfRule type="cellIs" dxfId="543" priority="40" stopIfTrue="1" operator="equal">
      <formula>-1</formula>
    </cfRule>
  </conditionalFormatting>
  <conditionalFormatting sqref="L32:O37">
    <cfRule type="cellIs" dxfId="542" priority="8" stopIfTrue="1" operator="equal">
      <formula>-1</formula>
    </cfRule>
    <cfRule type="cellIs" dxfId="541" priority="39" stopIfTrue="1" operator="equal">
      <formula>-1</formula>
    </cfRule>
  </conditionalFormatting>
  <conditionalFormatting sqref="L39:O44">
    <cfRule type="cellIs" dxfId="540" priority="7" stopIfTrue="1" operator="equal">
      <formula>-1</formula>
    </cfRule>
    <cfRule type="cellIs" dxfId="539" priority="38" stopIfTrue="1" operator="equal">
      <formula>-1</formula>
    </cfRule>
  </conditionalFormatting>
  <conditionalFormatting sqref="L46:O51">
    <cfRule type="cellIs" dxfId="538" priority="6" stopIfTrue="1" operator="equal">
      <formula>-1</formula>
    </cfRule>
    <cfRule type="cellIs" dxfId="537" priority="37" stopIfTrue="1" operator="equal">
      <formula>-1</formula>
    </cfRule>
  </conditionalFormatting>
  <conditionalFormatting sqref="L53:O58">
    <cfRule type="cellIs" dxfId="536" priority="5" stopIfTrue="1" operator="equal">
      <formula>-1</formula>
    </cfRule>
    <cfRule type="cellIs" dxfId="535" priority="36" stopIfTrue="1" operator="equal">
      <formula>-1</formula>
    </cfRule>
  </conditionalFormatting>
  <conditionalFormatting sqref="L60:O65">
    <cfRule type="cellIs" dxfId="534" priority="4" stopIfTrue="1" operator="equal">
      <formula>-1</formula>
    </cfRule>
    <cfRule type="cellIs" dxfId="533" priority="35" stopIfTrue="1" operator="equal">
      <formula>-1</formula>
    </cfRule>
  </conditionalFormatting>
  <conditionalFormatting sqref="L76:O107">
    <cfRule type="cellIs" dxfId="532" priority="3" stopIfTrue="1" operator="lessThan">
      <formula>0</formula>
    </cfRule>
  </conditionalFormatting>
  <conditionalFormatting sqref="N11:N65">
    <cfRule type="cellIs" dxfId="531" priority="33" stopIfTrue="1" operator="equal">
      <formula>-1</formula>
    </cfRule>
    <cfRule type="cellIs" dxfId="53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529" priority="70" stopIfTrue="1" operator="lessThan">
      <formula>0</formula>
    </cfRule>
  </conditionalFormatting>
  <conditionalFormatting sqref="N11:O65">
    <cfRule type="cellIs" dxfId="528" priority="34" stopIfTrue="1" operator="lessThan">
      <formula>0</formula>
    </cfRule>
    <cfRule type="cellIs" dxfId="527" priority="65" stopIfTrue="1" operator="lessThan">
      <formula>0</formula>
    </cfRule>
  </conditionalFormatting>
  <conditionalFormatting sqref="O11:O16 N11:N65 O18:O23 O25:O30 O32:O37 O39:O44 O46:O51 O53:O58 O60:O65">
    <cfRule type="cellIs" dxfId="526" priority="69" stopIfTrue="1" operator="equal">
      <formula>-1</formula>
    </cfRule>
  </conditionalFormatting>
  <conditionalFormatting sqref="S113:S116">
    <cfRule type="cellIs" dxfId="52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106F-5BEB-46FB-BBDF-5DEDB102BA0F}">
  <dimension ref="A1:AD135"/>
  <sheetViews>
    <sheetView zoomScale="85" zoomScaleNormal="85" workbookViewId="0">
      <pane ySplit="9" topLeftCell="A10" activePane="bottomLeft" state="frozen"/>
      <selection activeCell="H7" sqref="H7"/>
      <selection pane="bottomLeft" activeCell="N44" sqref="N44:O44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129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3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0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3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2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3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2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1</v>
      </c>
      <c r="R29" s="68">
        <f t="shared" si="7"/>
        <v>0</v>
      </c>
      <c r="S29" s="68">
        <f t="shared" si="8"/>
        <v>1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1</v>
      </c>
      <c r="R30" s="68">
        <f t="shared" si="7"/>
        <v>0</v>
      </c>
      <c r="S30" s="68">
        <f t="shared" si="8"/>
        <v>1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2</v>
      </c>
      <c r="H34" s="66">
        <v>2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3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3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1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2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0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1</v>
      </c>
      <c r="R51" s="68">
        <f t="shared" si="16"/>
        <v>3</v>
      </c>
      <c r="S51" s="68">
        <f t="shared" si="17"/>
        <v>4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2</v>
      </c>
      <c r="H55" s="66">
        <v>2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3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2</v>
      </c>
      <c r="H62" s="66">
        <v>3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3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12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22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152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127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167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12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12</v>
      </c>
      <c r="R135" s="125"/>
      <c r="S135" s="125"/>
    </row>
  </sheetData>
  <sheetProtection algorithmName="SHA-512" hashValue="M8EqxWQNWKH3w1lbOIiTkbuy/egKno2c5hG2OpoQeOfIXMVgUAk5cx3iZcPtkwzafYrf8PfKWuyV1o/JEInpKw==" saltValue="ktrGIm9BxiHGVhu9oiw3Ag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524" priority="67" stopIfTrue="1" operator="lessThan">
      <formula>0</formula>
    </cfRule>
  </conditionalFormatting>
  <conditionalFormatting sqref="C99:D101">
    <cfRule type="cellIs" dxfId="523" priority="66" stopIfTrue="1" operator="lessThan">
      <formula>0</formula>
    </cfRule>
  </conditionalFormatting>
  <conditionalFormatting sqref="D11:F16">
    <cfRule type="cellIs" dxfId="522" priority="1" stopIfTrue="1" operator="lessThan">
      <formula>0</formula>
    </cfRule>
  </conditionalFormatting>
  <conditionalFormatting sqref="G11:H16 G18:H23 G25:H30 G32:H37 G39:H44 G46:H51 G53:H58 G60:H65">
    <cfRule type="cellIs" dxfId="521" priority="68" stopIfTrue="1" operator="equal">
      <formula>-1</formula>
    </cfRule>
  </conditionalFormatting>
  <conditionalFormatting sqref="L18:M18">
    <cfRule type="cellIs" dxfId="520" priority="30" stopIfTrue="1" operator="equal">
      <formula>-1</formula>
    </cfRule>
  </conditionalFormatting>
  <conditionalFormatting sqref="L25:M25">
    <cfRule type="cellIs" dxfId="519" priority="27" stopIfTrue="1" operator="equal">
      <formula>-1</formula>
    </cfRule>
  </conditionalFormatting>
  <conditionalFormatting sqref="L32:M32">
    <cfRule type="cellIs" dxfId="518" priority="24" stopIfTrue="1" operator="equal">
      <formula>-1</formula>
    </cfRule>
  </conditionalFormatting>
  <conditionalFormatting sqref="L39:M39">
    <cfRule type="cellIs" dxfId="517" priority="21" stopIfTrue="1" operator="equal">
      <formula>-1</formula>
    </cfRule>
  </conditionalFormatting>
  <conditionalFormatting sqref="L46:M46">
    <cfRule type="cellIs" dxfId="516" priority="18" stopIfTrue="1" operator="equal">
      <formula>-1</formula>
    </cfRule>
  </conditionalFormatting>
  <conditionalFormatting sqref="L53:M53">
    <cfRule type="cellIs" dxfId="515" priority="15" stopIfTrue="1" operator="equal">
      <formula>-1</formula>
    </cfRule>
  </conditionalFormatting>
  <conditionalFormatting sqref="L60:M60">
    <cfRule type="cellIs" dxfId="514" priority="12" stopIfTrue="1" operator="equal">
      <formula>-1</formula>
    </cfRule>
  </conditionalFormatting>
  <conditionalFormatting sqref="L11:O16">
    <cfRule type="cellIs" dxfId="513" priority="63" stopIfTrue="1" operator="equal">
      <formula>-1</formula>
    </cfRule>
    <cfRule type="cellIs" dxfId="512" priority="32" stopIfTrue="1" operator="equal">
      <formula>-1</formula>
    </cfRule>
  </conditionalFormatting>
  <conditionalFormatting sqref="L18:O23">
    <cfRule type="cellIs" dxfId="511" priority="10" stopIfTrue="1" operator="equal">
      <formula>-1</formula>
    </cfRule>
    <cfRule type="cellIs" dxfId="510" priority="41" stopIfTrue="1" operator="equal">
      <formula>-1</formula>
    </cfRule>
  </conditionalFormatting>
  <conditionalFormatting sqref="L25:O30">
    <cfRule type="cellIs" dxfId="509" priority="9" stopIfTrue="1" operator="equal">
      <formula>-1</formula>
    </cfRule>
    <cfRule type="cellIs" dxfId="508" priority="40" stopIfTrue="1" operator="equal">
      <formula>-1</formula>
    </cfRule>
  </conditionalFormatting>
  <conditionalFormatting sqref="L32:O37">
    <cfRule type="cellIs" dxfId="507" priority="8" stopIfTrue="1" operator="equal">
      <formula>-1</formula>
    </cfRule>
    <cfRule type="cellIs" dxfId="506" priority="39" stopIfTrue="1" operator="equal">
      <formula>-1</formula>
    </cfRule>
  </conditionalFormatting>
  <conditionalFormatting sqref="L39:O44">
    <cfRule type="cellIs" dxfId="505" priority="7" stopIfTrue="1" operator="equal">
      <formula>-1</formula>
    </cfRule>
    <cfRule type="cellIs" dxfId="504" priority="38" stopIfTrue="1" operator="equal">
      <formula>-1</formula>
    </cfRule>
  </conditionalFormatting>
  <conditionalFormatting sqref="L46:O51">
    <cfRule type="cellIs" dxfId="503" priority="6" stopIfTrue="1" operator="equal">
      <formula>-1</formula>
    </cfRule>
    <cfRule type="cellIs" dxfId="502" priority="37" stopIfTrue="1" operator="equal">
      <formula>-1</formula>
    </cfRule>
  </conditionalFormatting>
  <conditionalFormatting sqref="L53:O58">
    <cfRule type="cellIs" dxfId="501" priority="5" stopIfTrue="1" operator="equal">
      <formula>-1</formula>
    </cfRule>
    <cfRule type="cellIs" dxfId="500" priority="36" stopIfTrue="1" operator="equal">
      <formula>-1</formula>
    </cfRule>
  </conditionalFormatting>
  <conditionalFormatting sqref="L60:O65">
    <cfRule type="cellIs" dxfId="499" priority="4" stopIfTrue="1" operator="equal">
      <formula>-1</formula>
    </cfRule>
    <cfRule type="cellIs" dxfId="498" priority="35" stopIfTrue="1" operator="equal">
      <formula>-1</formula>
    </cfRule>
  </conditionalFormatting>
  <conditionalFormatting sqref="L76:O107">
    <cfRule type="cellIs" dxfId="497" priority="3" stopIfTrue="1" operator="lessThan">
      <formula>0</formula>
    </cfRule>
  </conditionalFormatting>
  <conditionalFormatting sqref="N11:N65">
    <cfRule type="cellIs" dxfId="496" priority="33" stopIfTrue="1" operator="equal">
      <formula>-1</formula>
    </cfRule>
    <cfRule type="cellIs" dxfId="49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494" priority="70" stopIfTrue="1" operator="lessThan">
      <formula>0</formula>
    </cfRule>
  </conditionalFormatting>
  <conditionalFormatting sqref="N11:O65">
    <cfRule type="cellIs" dxfId="493" priority="34" stopIfTrue="1" operator="lessThan">
      <formula>0</formula>
    </cfRule>
    <cfRule type="cellIs" dxfId="492" priority="65" stopIfTrue="1" operator="lessThan">
      <formula>0</formula>
    </cfRule>
  </conditionalFormatting>
  <conditionalFormatting sqref="O11:O16 N11:N65 O18:O23 O25:O30 O32:O37 O39:O44 O46:O51 O53:O58 O60:O65">
    <cfRule type="cellIs" dxfId="491" priority="69" stopIfTrue="1" operator="equal">
      <formula>-1</formula>
    </cfRule>
  </conditionalFormatting>
  <conditionalFormatting sqref="S113:S116">
    <cfRule type="cellIs" dxfId="49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97F7-42EA-4B2C-B287-B057959C7EDD}">
  <dimension ref="A1:AD135"/>
  <sheetViews>
    <sheetView zoomScale="85" zoomScaleNormal="85" workbookViewId="0">
      <pane ySplit="9" topLeftCell="A10" activePane="bottomLeft" state="frozen"/>
      <selection activeCell="H7" sqref="H7"/>
      <selection pane="bottomLeft" activeCell="S37" sqref="S3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130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0</v>
      </c>
      <c r="I11" s="67" t="s">
        <v>76</v>
      </c>
      <c r="J11" s="62"/>
      <c r="K11" s="62"/>
      <c r="L11" s="138">
        <f>[1]OFICIAL!G6</f>
        <v>0</v>
      </c>
      <c r="M11" s="138">
        <f>[1]OFICIAL!G6</f>
        <v>0</v>
      </c>
      <c r="N11" s="138">
        <f>[1]OFICIAL!H6</f>
        <v>0</v>
      </c>
      <c r="O11" s="138" t="str">
        <f>[1]OFICIAL!I6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3</v>
      </c>
      <c r="S11" s="68">
        <f t="shared" ref="S11:S16" si="2">Q11+R11</f>
        <v>4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2</v>
      </c>
      <c r="H12" s="66">
        <v>2</v>
      </c>
      <c r="I12" s="67" t="s">
        <v>83</v>
      </c>
      <c r="J12" s="62"/>
      <c r="K12" s="62"/>
      <c r="L12" s="138">
        <f>[1]OFICIAL!G7</f>
        <v>0</v>
      </c>
      <c r="M12" s="138">
        <f>[1]OFICIAL!G7</f>
        <v>0</v>
      </c>
      <c r="N12" s="138">
        <f>[1]OFICIAL!H7</f>
        <v>0</v>
      </c>
      <c r="O12" s="138" t="str">
        <f>[1]OFICIAL!I7</f>
        <v>Países Bajos</v>
      </c>
      <c r="P12" s="62"/>
      <c r="Q12" s="68">
        <f t="shared" si="0"/>
        <v>1</v>
      </c>
      <c r="R12" s="68">
        <f t="shared" si="1"/>
        <v>0</v>
      </c>
      <c r="S12" s="68">
        <f t="shared" si="2"/>
        <v>1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2</v>
      </c>
      <c r="I13" s="67" t="s">
        <v>82</v>
      </c>
      <c r="J13" s="62"/>
      <c r="K13" s="62"/>
      <c r="L13" s="138">
        <f>[1]OFICIAL!G8</f>
        <v>0</v>
      </c>
      <c r="M13" s="138">
        <f>[1]OFICIAL!G8</f>
        <v>0</v>
      </c>
      <c r="N13" s="138">
        <f>[1]OFICIAL!H8</f>
        <v>0</v>
      </c>
      <c r="O13" s="138" t="str">
        <f>[1]OFICIAL!I8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1</v>
      </c>
      <c r="H14" s="66">
        <v>0</v>
      </c>
      <c r="I14" s="67" t="s">
        <v>76</v>
      </c>
      <c r="J14" s="62"/>
      <c r="K14" s="62"/>
      <c r="L14" s="138">
        <f>[1]OFICIAL!G9</f>
        <v>0</v>
      </c>
      <c r="M14" s="138">
        <f>[1]OFICIAL!G9</f>
        <v>0</v>
      </c>
      <c r="N14" s="138">
        <f>[1]OFICIAL!H9</f>
        <v>0</v>
      </c>
      <c r="O14" s="138" t="str">
        <f>[1]OFICIAL!I9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0</v>
      </c>
      <c r="I15" s="67" t="s">
        <v>81</v>
      </c>
      <c r="J15" s="62"/>
      <c r="K15" s="62"/>
      <c r="L15" s="138">
        <f>[1]OFICIAL!G10</f>
        <v>0</v>
      </c>
      <c r="M15" s="138">
        <f>[1]OFICIAL!G10</f>
        <v>0</v>
      </c>
      <c r="N15" s="138">
        <f>[1]OFICIAL!H10</f>
        <v>0</v>
      </c>
      <c r="O15" s="138" t="str">
        <f>[1]OFICIAL!I10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[1]OFICIAL!G11</f>
        <v>0</v>
      </c>
      <c r="M16" s="138">
        <f>[1]OFICIAL!G11</f>
        <v>0</v>
      </c>
      <c r="N16" s="138">
        <f>[1]OFICIAL!H11</f>
        <v>0</v>
      </c>
      <c r="O16" s="138" t="str">
        <f>[1]OFICIAL!I11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1</v>
      </c>
      <c r="H18" s="66">
        <v>0</v>
      </c>
      <c r="I18" s="67" t="s">
        <v>84</v>
      </c>
      <c r="J18" s="62"/>
      <c r="K18" s="62"/>
      <c r="L18" s="138">
        <f>[1]OFICIAL!G13</f>
        <v>0</v>
      </c>
      <c r="M18" s="138">
        <f>[1]OFICIAL!G13</f>
        <v>0</v>
      </c>
      <c r="N18" s="138">
        <f>[1]OFICIAL!H13</f>
        <v>0</v>
      </c>
      <c r="O18" s="138" t="str">
        <f>[1]OFICIAL!I13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2</v>
      </c>
      <c r="H19" s="66">
        <v>0</v>
      </c>
      <c r="I19" s="67" t="s">
        <v>85</v>
      </c>
      <c r="J19" s="62"/>
      <c r="K19" s="62"/>
      <c r="L19" s="138">
        <f>[1]OFICIAL!G14</f>
        <v>0</v>
      </c>
      <c r="M19" s="138">
        <f>[1]OFICIAL!G14</f>
        <v>0</v>
      </c>
      <c r="N19" s="138">
        <f>[1]OFICIAL!H14</f>
        <v>0</v>
      </c>
      <c r="O19" s="138" t="str">
        <f>[1]OFICIAL!I14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0</v>
      </c>
      <c r="H20" s="66">
        <v>1</v>
      </c>
      <c r="I20" s="67" t="s">
        <v>84</v>
      </c>
      <c r="J20" s="62"/>
      <c r="K20" s="62"/>
      <c r="L20" s="138">
        <f>[1]OFICIAL!G15</f>
        <v>0</v>
      </c>
      <c r="M20" s="138">
        <f>[1]OFICIAL!G15</f>
        <v>0</v>
      </c>
      <c r="N20" s="138">
        <f>[1]OFICIAL!H15</f>
        <v>0</v>
      </c>
      <c r="O20" s="138" t="str">
        <f>[1]OFICIAL!I15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2</v>
      </c>
      <c r="I21" s="67" t="s">
        <v>24</v>
      </c>
      <c r="J21" s="62"/>
      <c r="K21" s="62"/>
      <c r="L21" s="138">
        <f>[1]OFICIAL!G16</f>
        <v>0</v>
      </c>
      <c r="M21" s="138">
        <f>[1]OFICIAL!G16</f>
        <v>0</v>
      </c>
      <c r="N21" s="138">
        <f>[1]OFICIAL!H16</f>
        <v>0</v>
      </c>
      <c r="O21" s="138" t="str">
        <f>[1]OFICIAL!I16</f>
        <v>USA</v>
      </c>
      <c r="P21" s="62"/>
      <c r="Q21" s="68">
        <f t="shared" si="3"/>
        <v>1</v>
      </c>
      <c r="R21" s="68">
        <f t="shared" si="4"/>
        <v>0</v>
      </c>
      <c r="S21" s="68">
        <f t="shared" si="5"/>
        <v>1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3</v>
      </c>
      <c r="I22" s="67" t="s">
        <v>9</v>
      </c>
      <c r="J22" s="62"/>
      <c r="K22" s="62"/>
      <c r="L22" s="138">
        <f>[1]OFICIAL!G17</f>
        <v>0</v>
      </c>
      <c r="M22" s="138">
        <f>[1]OFICIAL!G17</f>
        <v>0</v>
      </c>
      <c r="N22" s="138">
        <f>[1]OFICIAL!H17</f>
        <v>0</v>
      </c>
      <c r="O22" s="138" t="str">
        <f>[1]OFICIAL!I17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2</v>
      </c>
      <c r="I23" s="67" t="s">
        <v>24</v>
      </c>
      <c r="J23" s="62"/>
      <c r="K23" s="62"/>
      <c r="L23" s="138">
        <f>[1]OFICIAL!G18</f>
        <v>0</v>
      </c>
      <c r="M23" s="138">
        <f>[1]OFICIAL!G18</f>
        <v>0</v>
      </c>
      <c r="N23" s="138">
        <f>[1]OFICIAL!H18</f>
        <v>0</v>
      </c>
      <c r="O23" s="138" t="str">
        <f>[1]OFICIAL!I18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[1]OFICIAL!G20</f>
        <v>0</v>
      </c>
      <c r="M25" s="138">
        <f>[1]OFICIAL!G20</f>
        <v>0</v>
      </c>
      <c r="N25" s="138">
        <f>[1]OFICIAL!H20</f>
        <v>0</v>
      </c>
      <c r="O25" s="138" t="str">
        <f>[1]OFICIAL!I20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1</v>
      </c>
      <c r="I26" s="67" t="s">
        <v>87</v>
      </c>
      <c r="J26" s="62"/>
      <c r="K26" s="62"/>
      <c r="L26" s="138">
        <f>[1]OFICIAL!G21</f>
        <v>0</v>
      </c>
      <c r="M26" s="138">
        <f>[1]OFICIAL!G21</f>
        <v>0</v>
      </c>
      <c r="N26" s="138">
        <f>[1]OFICIAL!H21</f>
        <v>0</v>
      </c>
      <c r="O26" s="138" t="str">
        <f>[1]OFICIAL!I21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[1]OFICIAL!G22</f>
        <v>0</v>
      </c>
      <c r="M27" s="138">
        <f>[1]OFICIAL!G22</f>
        <v>0</v>
      </c>
      <c r="N27" s="138">
        <f>[1]OFICIAL!H22</f>
        <v>0</v>
      </c>
      <c r="O27" s="138" t="str">
        <f>[1]OFICIAL!I22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[1]OFICIAL!G23</f>
        <v>0</v>
      </c>
      <c r="M28" s="138">
        <f>[1]OFICIAL!G23</f>
        <v>0</v>
      </c>
      <c r="N28" s="138">
        <f>[1]OFICIAL!H23</f>
        <v>0</v>
      </c>
      <c r="O28" s="138" t="str">
        <f>[1]OFICIAL!I23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[1]OFICIAL!G24</f>
        <v>0</v>
      </c>
      <c r="M29" s="138">
        <f>[1]OFICIAL!G24</f>
        <v>0</v>
      </c>
      <c r="N29" s="138">
        <f>[1]OFICIAL!H24</f>
        <v>0</v>
      </c>
      <c r="O29" s="138" t="str">
        <f>[1]OFICIAL!I24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2</v>
      </c>
      <c r="I30" s="67" t="s">
        <v>7</v>
      </c>
      <c r="J30" s="62"/>
      <c r="K30" s="62"/>
      <c r="L30" s="138">
        <f>[1]OFICIAL!G25</f>
        <v>0</v>
      </c>
      <c r="M30" s="138">
        <f>[1]OFICIAL!G25</f>
        <v>0</v>
      </c>
      <c r="N30" s="138">
        <f>[1]OFICIAL!H25</f>
        <v>0</v>
      </c>
      <c r="O30" s="138" t="str">
        <f>[1]OFICIAL!I25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[1]OFICIAL!G27</f>
        <v>0</v>
      </c>
      <c r="M32" s="138">
        <f>[1]OFICIAL!G27</f>
        <v>0</v>
      </c>
      <c r="N32" s="138">
        <f>[1]OFICIAL!H27</f>
        <v>0</v>
      </c>
      <c r="O32" s="138" t="str">
        <f>[1]OFICIAL!I27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1</v>
      </c>
      <c r="I33" s="67" t="s">
        <v>12</v>
      </c>
      <c r="J33" s="62"/>
      <c r="K33" s="62"/>
      <c r="L33" s="138">
        <f>[1]OFICIAL!G28</f>
        <v>0</v>
      </c>
      <c r="M33" s="138">
        <f>[1]OFICIAL!G28</f>
        <v>0</v>
      </c>
      <c r="N33" s="138">
        <f>[1]OFICIAL!H28</f>
        <v>0</v>
      </c>
      <c r="O33" s="138" t="str">
        <f>[1]OFICIAL!I28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[1]OFICIAL!G29</f>
        <v>0</v>
      </c>
      <c r="M34" s="138">
        <f>[1]OFICIAL!G29</f>
        <v>0</v>
      </c>
      <c r="N34" s="138">
        <f>[1]OFICIAL!H29</f>
        <v>0</v>
      </c>
      <c r="O34" s="138" t="str">
        <f>[1]OFICIAL!I29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0</v>
      </c>
      <c r="I35" s="67" t="s">
        <v>79</v>
      </c>
      <c r="J35" s="62"/>
      <c r="K35" s="62"/>
      <c r="L35" s="138">
        <f>[1]OFICIAL!G30</f>
        <v>0</v>
      </c>
      <c r="M35" s="138">
        <f>[1]OFICIAL!G30</f>
        <v>0</v>
      </c>
      <c r="N35" s="138">
        <f>[1]OFICIAL!H30</f>
        <v>0</v>
      </c>
      <c r="O35" s="138" t="str">
        <f>[1]OFICIAL!I30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2</v>
      </c>
      <c r="H36" s="66">
        <v>2</v>
      </c>
      <c r="I36" s="67" t="s">
        <v>5</v>
      </c>
      <c r="J36" s="62"/>
      <c r="K36" s="62"/>
      <c r="L36" s="138">
        <f>[1]OFICIAL!G31</f>
        <v>0</v>
      </c>
      <c r="M36" s="138">
        <f>[1]OFICIAL!G31</f>
        <v>0</v>
      </c>
      <c r="N36" s="138">
        <f>[1]OFICIAL!H31</f>
        <v>0</v>
      </c>
      <c r="O36" s="138" t="str">
        <f>[1]OFICIAL!I31</f>
        <v>Francia</v>
      </c>
      <c r="P36" s="62"/>
      <c r="Q36" s="68">
        <f t="shared" si="9"/>
        <v>1</v>
      </c>
      <c r="R36" s="68">
        <f t="shared" si="10"/>
        <v>0</v>
      </c>
      <c r="S36" s="68">
        <f t="shared" si="11"/>
        <v>1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2</v>
      </c>
      <c r="I37" s="67" t="s">
        <v>79</v>
      </c>
      <c r="J37" s="62"/>
      <c r="K37" s="62"/>
      <c r="L37" s="138">
        <f>[1]OFICIAL!G32</f>
        <v>0</v>
      </c>
      <c r="M37" s="138">
        <f>[1]OFICIAL!G32</f>
        <v>0</v>
      </c>
      <c r="N37" s="138">
        <f>[1]OFICIAL!H32</f>
        <v>0</v>
      </c>
      <c r="O37" s="138" t="str">
        <f>[1]OFICIAL!I32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1</v>
      </c>
      <c r="H39" s="66">
        <v>0</v>
      </c>
      <c r="I39" s="67" t="s">
        <v>15</v>
      </c>
      <c r="J39" s="62"/>
      <c r="K39" s="62"/>
      <c r="L39" s="138">
        <f>[1]OFICIAL!G34</f>
        <v>0</v>
      </c>
      <c r="M39" s="138">
        <f>[1]OFICIAL!G34</f>
        <v>0</v>
      </c>
      <c r="N39" s="138">
        <f>[1]OFICIAL!H34</f>
        <v>0</v>
      </c>
      <c r="O39" s="138" t="str">
        <f>[1]OFICIAL!I34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[1]OFICIAL!G35</f>
        <v>0</v>
      </c>
      <c r="M40" s="138">
        <f>[1]OFICIAL!G35</f>
        <v>0</v>
      </c>
      <c r="N40" s="138">
        <f>[1]OFICIAL!H35</f>
        <v>0</v>
      </c>
      <c r="O40" s="138" t="str">
        <f>[1]OFICIAL!I35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1</v>
      </c>
      <c r="I41" s="67" t="s">
        <v>75</v>
      </c>
      <c r="J41" s="62"/>
      <c r="K41" s="62"/>
      <c r="L41" s="138">
        <f>[1]OFICIAL!G36</f>
        <v>0</v>
      </c>
      <c r="M41" s="138">
        <f>[1]OFICIAL!G36</f>
        <v>0</v>
      </c>
      <c r="N41" s="138">
        <f>[1]OFICIAL!H36</f>
        <v>0</v>
      </c>
      <c r="O41" s="138" t="str">
        <f>[1]OFICIAL!I36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2</v>
      </c>
      <c r="I42" s="67" t="s">
        <v>11</v>
      </c>
      <c r="J42" s="62"/>
      <c r="K42" s="62"/>
      <c r="L42" s="138">
        <f>[1]OFICIAL!G37</f>
        <v>0</v>
      </c>
      <c r="M42" s="138">
        <f>[1]OFICIAL!G37</f>
        <v>0</v>
      </c>
      <c r="N42" s="138">
        <f>[1]OFICIAL!H37</f>
        <v>0</v>
      </c>
      <c r="O42" s="138" t="str">
        <f>[1]OFICIAL!I37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2</v>
      </c>
      <c r="I43" s="67" t="s">
        <v>22</v>
      </c>
      <c r="J43" s="62"/>
      <c r="K43" s="62"/>
      <c r="L43" s="138">
        <f>[1]OFICIAL!G38</f>
        <v>0</v>
      </c>
      <c r="M43" s="138">
        <f>[1]OFICIAL!G38</f>
        <v>0</v>
      </c>
      <c r="N43" s="138">
        <f>[1]OFICIAL!H38</f>
        <v>0</v>
      </c>
      <c r="O43" s="138" t="str">
        <f>[1]OFICIAL!I38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1</v>
      </c>
      <c r="H44" s="66">
        <v>2</v>
      </c>
      <c r="I44" s="67" t="s">
        <v>11</v>
      </c>
      <c r="J44" s="62"/>
      <c r="K44" s="62"/>
      <c r="L44" s="138">
        <f>[1]OFICIAL!G39</f>
        <v>0</v>
      </c>
      <c r="M44" s="138">
        <f>[1]OFICIAL!G39</f>
        <v>0</v>
      </c>
      <c r="N44" s="138">
        <f>[1]OFICIAL!H39</f>
        <v>0</v>
      </c>
      <c r="O44" s="138" t="str">
        <f>[1]OFICIAL!I39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[1]OFICIAL!G41</f>
        <v>0</v>
      </c>
      <c r="M46" s="138">
        <f>[1]OFICIAL!G41</f>
        <v>0</v>
      </c>
      <c r="N46" s="138">
        <f>[1]OFICIAL!H41</f>
        <v>0</v>
      </c>
      <c r="O46" s="138" t="str">
        <f>[1]OFICIAL!I41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0</v>
      </c>
      <c r="I47" s="67" t="s">
        <v>89</v>
      </c>
      <c r="J47" s="62"/>
      <c r="K47" s="62"/>
      <c r="L47" s="138">
        <f>[1]OFICIAL!G42</f>
        <v>0</v>
      </c>
      <c r="M47" s="138">
        <f>[1]OFICIAL!G42</f>
        <v>0</v>
      </c>
      <c r="N47" s="138">
        <f>[1]OFICIAL!H42</f>
        <v>0</v>
      </c>
      <c r="O47" s="138" t="str">
        <f>[1]OFICIAL!I42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1</v>
      </c>
      <c r="I48" s="67" t="s">
        <v>90</v>
      </c>
      <c r="J48" s="62"/>
      <c r="K48" s="62"/>
      <c r="L48" s="138">
        <f>[1]OFICIAL!G43</f>
        <v>0</v>
      </c>
      <c r="M48" s="138">
        <f>[1]OFICIAL!G43</f>
        <v>0</v>
      </c>
      <c r="N48" s="138">
        <f>[1]OFICIAL!H43</f>
        <v>0</v>
      </c>
      <c r="O48" s="138" t="str">
        <f>[1]OFICIAL!I43</f>
        <v>Marruecos</v>
      </c>
      <c r="P48" s="62"/>
      <c r="Q48" s="68">
        <f t="shared" si="15"/>
        <v>1</v>
      </c>
      <c r="R48" s="68">
        <f t="shared" si="16"/>
        <v>0</v>
      </c>
      <c r="S48" s="68">
        <f t="shared" si="17"/>
        <v>1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0</v>
      </c>
      <c r="I49" s="67" t="s">
        <v>89</v>
      </c>
      <c r="J49" s="62"/>
      <c r="K49" s="62"/>
      <c r="L49" s="138">
        <f>[1]OFICIAL!G44</f>
        <v>0</v>
      </c>
      <c r="M49" s="138">
        <f>[1]OFICIAL!G44</f>
        <v>0</v>
      </c>
      <c r="N49" s="138">
        <f>[1]OFICIAL!H44</f>
        <v>0</v>
      </c>
      <c r="O49" s="138" t="str">
        <f>[1]OFICIAL!I44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[1]OFICIAL!G45</f>
        <v>0</v>
      </c>
      <c r="M50" s="138">
        <f>[1]OFICIAL!G45</f>
        <v>0</v>
      </c>
      <c r="N50" s="138">
        <f>[1]OFICIAL!H45</f>
        <v>0</v>
      </c>
      <c r="O50" s="138" t="str">
        <f>[1]OFICIAL!I45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[1]OFICIAL!G46</f>
        <v>0</v>
      </c>
      <c r="M51" s="138">
        <f>[1]OFICIAL!G46</f>
        <v>0</v>
      </c>
      <c r="N51" s="138">
        <f>[1]OFICIAL!H46</f>
        <v>0</v>
      </c>
      <c r="O51" s="138" t="str">
        <f>[1]OFICIAL!I46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0</v>
      </c>
      <c r="I53" s="67" t="s">
        <v>16</v>
      </c>
      <c r="J53" s="62"/>
      <c r="K53" s="62"/>
      <c r="L53" s="138">
        <f>[1]OFICIAL!G48</f>
        <v>0</v>
      </c>
      <c r="M53" s="138">
        <f>[1]OFICIAL!G48</f>
        <v>0</v>
      </c>
      <c r="N53" s="138">
        <f>[1]OFICIAL!H48</f>
        <v>0</v>
      </c>
      <c r="O53" s="138" t="str">
        <f>[1]OFICIAL!I48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1</v>
      </c>
      <c r="I54" s="67" t="s">
        <v>80</v>
      </c>
      <c r="J54" s="62"/>
      <c r="K54" s="62"/>
      <c r="L54" s="138">
        <f>[1]OFICIAL!G49</f>
        <v>0</v>
      </c>
      <c r="M54" s="138">
        <f>[1]OFICIAL!G49</f>
        <v>0</v>
      </c>
      <c r="N54" s="138">
        <f>[1]OFICIAL!H49</f>
        <v>0</v>
      </c>
      <c r="O54" s="138" t="str">
        <f>[1]OFICIAL!I49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0</v>
      </c>
      <c r="I55" s="67" t="s">
        <v>80</v>
      </c>
      <c r="J55" s="62"/>
      <c r="K55" s="62"/>
      <c r="L55" s="138">
        <f>[1]OFICIAL!G50</f>
        <v>0</v>
      </c>
      <c r="M55" s="138">
        <f>[1]OFICIAL!G50</f>
        <v>0</v>
      </c>
      <c r="N55" s="138">
        <f>[1]OFICIAL!H50</f>
        <v>0</v>
      </c>
      <c r="O55" s="138" t="str">
        <f>[1]OFICIAL!I50</f>
        <v>Serbia</v>
      </c>
      <c r="P55" s="62"/>
      <c r="Q55" s="68">
        <f t="shared" si="18"/>
        <v>1</v>
      </c>
      <c r="R55" s="68">
        <f t="shared" si="19"/>
        <v>3</v>
      </c>
      <c r="S55" s="68">
        <f t="shared" si="20"/>
        <v>4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1</v>
      </c>
      <c r="H56" s="66">
        <v>1</v>
      </c>
      <c r="I56" s="67" t="s">
        <v>23</v>
      </c>
      <c r="J56" s="62"/>
      <c r="K56" s="62"/>
      <c r="L56" s="138">
        <f>[1]OFICIAL!G51</f>
        <v>0</v>
      </c>
      <c r="M56" s="138">
        <f>[1]OFICIAL!G51</f>
        <v>0</v>
      </c>
      <c r="N56" s="138">
        <f>[1]OFICIAL!H51</f>
        <v>0</v>
      </c>
      <c r="O56" s="138" t="str">
        <f>[1]OFICIAL!I51</f>
        <v>Suiza</v>
      </c>
      <c r="P56" s="62"/>
      <c r="Q56" s="68">
        <f t="shared" si="18"/>
        <v>1</v>
      </c>
      <c r="R56" s="68">
        <f t="shared" si="19"/>
        <v>0</v>
      </c>
      <c r="S56" s="68">
        <f t="shared" si="20"/>
        <v>1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0</v>
      </c>
      <c r="H57" s="66">
        <v>1</v>
      </c>
      <c r="I57" s="67" t="s">
        <v>23</v>
      </c>
      <c r="J57" s="62"/>
      <c r="K57" s="62"/>
      <c r="L57" s="138">
        <f>[1]OFICIAL!G52</f>
        <v>0</v>
      </c>
      <c r="M57" s="138">
        <f>[1]OFICIAL!G52</f>
        <v>0</v>
      </c>
      <c r="N57" s="138">
        <f>[1]OFICIAL!H52</f>
        <v>0</v>
      </c>
      <c r="O57" s="138" t="str">
        <f>[1]OFICIAL!I52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[1]OFICIAL!G53</f>
        <v>0</v>
      </c>
      <c r="M58" s="138">
        <f>[1]OFICIAL!G53</f>
        <v>0</v>
      </c>
      <c r="N58" s="138">
        <f>[1]OFICIAL!H53</f>
        <v>0</v>
      </c>
      <c r="O58" s="138" t="str">
        <f>[1]OFICIAL!I53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[1]OFICIAL!G55</f>
        <v>0</v>
      </c>
      <c r="M60" s="138">
        <f>[1]OFICIAL!G55</f>
        <v>0</v>
      </c>
      <c r="N60" s="138">
        <f>[1]OFICIAL!H55</f>
        <v>0</v>
      </c>
      <c r="O60" s="138" t="str">
        <f>[1]OFICIAL!I55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[1]OFICIAL!G56</f>
        <v>0</v>
      </c>
      <c r="M61" s="138">
        <f>[1]OFICIAL!G56</f>
        <v>0</v>
      </c>
      <c r="N61" s="138">
        <f>[1]OFICIAL!H56</f>
        <v>0</v>
      </c>
      <c r="O61" s="138" t="str">
        <f>[1]OFICIAL!I56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[1]OFICIAL!G57</f>
        <v>0</v>
      </c>
      <c r="M62" s="138">
        <f>[1]OFICIAL!G57</f>
        <v>0</v>
      </c>
      <c r="N62" s="138">
        <f>[1]OFICIAL!H57</f>
        <v>0</v>
      </c>
      <c r="O62" s="138" t="str">
        <f>[1]OFICIAL!I57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[1]OFICIAL!G58</f>
        <v>0</v>
      </c>
      <c r="M63" s="138">
        <f>[1]OFICIAL!G58</f>
        <v>0</v>
      </c>
      <c r="N63" s="138">
        <f>[1]OFICIAL!H58</f>
        <v>0</v>
      </c>
      <c r="O63" s="138" t="str">
        <f>[1]OFICIAL!I58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0</v>
      </c>
      <c r="I64" s="67" t="s">
        <v>19</v>
      </c>
      <c r="J64" s="62"/>
      <c r="K64" s="62"/>
      <c r="L64" s="138">
        <f>[1]OFICIAL!G59</f>
        <v>0</v>
      </c>
      <c r="M64" s="138">
        <f>[1]OFICIAL!G59</f>
        <v>0</v>
      </c>
      <c r="N64" s="138">
        <f>[1]OFICIAL!H59</f>
        <v>0</v>
      </c>
      <c r="O64" s="138" t="str">
        <f>[1]OFICIAL!I59</f>
        <v>Portugal</v>
      </c>
      <c r="P64" s="62"/>
      <c r="Q64" s="68">
        <f t="shared" si="21"/>
        <v>1</v>
      </c>
      <c r="R64" s="68">
        <f t="shared" si="22"/>
        <v>3</v>
      </c>
      <c r="S64" s="68">
        <f t="shared" si="23"/>
        <v>4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1</v>
      </c>
      <c r="I65" s="67" t="s">
        <v>4</v>
      </c>
      <c r="J65" s="62"/>
      <c r="K65" s="62"/>
      <c r="L65" s="138">
        <f>[1]OFICIAL!G60</f>
        <v>0</v>
      </c>
      <c r="M65" s="138">
        <f>[1]OFICIAL!G60</f>
        <v>0</v>
      </c>
      <c r="N65" s="138">
        <f>[1]OFICIAL!H60</f>
        <v>0</v>
      </c>
      <c r="O65" s="138" t="str">
        <f>[1]OFICIAL!I60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24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IF(AND(C76=[1]OFICIAL!C70,[1]OFICIAL!C70="X"),1,0)</f>
        <v>0</v>
      </c>
      <c r="M76" s="89">
        <f>IF(AND(D76=[1]OFICIAL!D70,[1]OFICIAL!D70="X"),2,0)</f>
        <v>0</v>
      </c>
      <c r="N76" s="89">
        <f>IF(AND(E76=[1]OFICIAL!E70,[1]OFICIAL!E70="X"),5,0)</f>
        <v>0</v>
      </c>
      <c r="O76" s="89">
        <f>IF(AND(F76=[1]OFICIAL!F70,[1]OFICIAL!F70="X"),8,0)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IF(AND(C77=[1]OFICIAL!C71,[1]OFICIAL!C71="X"),1,0)</f>
        <v>0</v>
      </c>
      <c r="M77" s="89">
        <f>IF(AND(D77=[1]OFICIAL!D71,[1]OFICIAL!D71="X"),2,0)</f>
        <v>0</v>
      </c>
      <c r="N77" s="89">
        <f>IF(AND(E77=[1]OFICIAL!E71,[1]OFICIAL!E71="X"),5,0)</f>
        <v>0</v>
      </c>
      <c r="O77" s="89">
        <f>IF(AND(F77=[1]OFICIAL!F71,[1]OFICIAL!F71="X"),8,0)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IF(AND(C78=[1]OFICIAL!C72,[1]OFICIAL!C72="X"),1,0)</f>
        <v>0</v>
      </c>
      <c r="M78" s="89">
        <f>IF(AND(D78=[1]OFICIAL!D72,[1]OFICIAL!D72="X"),2,0)</f>
        <v>0</v>
      </c>
      <c r="N78" s="89">
        <f>IF(AND(E78=[1]OFICIAL!E72,[1]OFICIAL!E72="X"),5,0)</f>
        <v>0</v>
      </c>
      <c r="O78" s="89">
        <f>IF(AND(F78=[1]OFICIAL!F72,[1]OFICIAL!F72="X"),8,0)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IF(AND(C79=[1]OFICIAL!C73,[1]OFICIAL!C73="X"),1,0)</f>
        <v>0</v>
      </c>
      <c r="M79" s="89">
        <f>IF(AND(D79=[1]OFICIAL!D73,[1]OFICIAL!D73="X"),2,0)</f>
        <v>0</v>
      </c>
      <c r="N79" s="89">
        <f>IF(AND(E79=[1]OFICIAL!E73,[1]OFICIAL!E73="X"),5,0)</f>
        <v>0</v>
      </c>
      <c r="O79" s="89">
        <f>IF(AND(F79=[1]OFICIAL!F73,[1]OFICIAL!F73="X"),8,0)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IF(AND(C80=[1]OFICIAL!C74,[1]OFICIAL!C74="X"),1,0)</f>
        <v>0</v>
      </c>
      <c r="M80" s="89">
        <f>IF(AND(D80=[1]OFICIAL!D74,[1]OFICIAL!D74="X"),2,0)</f>
        <v>0</v>
      </c>
      <c r="N80" s="89">
        <f>IF(AND(E80=[1]OFICIAL!E74,[1]OFICIAL!E74="X"),5,0)</f>
        <v>0</v>
      </c>
      <c r="O80" s="89">
        <f>IF(AND(F80=[1]OFICIAL!F74,[1]OFICIAL!F74="X"),8,0)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IF(AND(C81=[1]OFICIAL!C75,[1]OFICIAL!C75="X"),1,0)</f>
        <v>0</v>
      </c>
      <c r="M81" s="89">
        <f>IF(AND(D81=[1]OFICIAL!D75,[1]OFICIAL!D75="X"),2,0)</f>
        <v>0</v>
      </c>
      <c r="N81" s="89">
        <f>IF(AND(E81=[1]OFICIAL!E75,[1]OFICIAL!E75="X"),5,0)</f>
        <v>0</v>
      </c>
      <c r="O81" s="89">
        <f>IF(AND(F81=[1]OFICIAL!F75,[1]OFICIAL!F75="X"),8,0)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IF(AND(C82=[1]OFICIAL!C76,[1]OFICIAL!C76="X"),1,0)</f>
        <v>0</v>
      </c>
      <c r="M82" s="68">
        <f>IF(AND(D82=[1]OFICIAL!D76,[1]OFICIAL!D76="X"),2,0)</f>
        <v>0</v>
      </c>
      <c r="N82" s="68">
        <f>IF(AND(E82=[1]OFICIAL!E76,[1]OFICIAL!E76="X"),5,0)</f>
        <v>0</v>
      </c>
      <c r="O82" s="68">
        <f>IF(AND(F82=[1]OFICIAL!F76,[1]OFICIAL!F76="X"),8,0)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IF(AND(C83=[1]OFICIAL!C77,[1]OFICIAL!C77="X"),1,0)</f>
        <v>0</v>
      </c>
      <c r="M83" s="89">
        <f>IF(AND(D83=[1]OFICIAL!D77,[1]OFICIAL!D77="X"),2,0)</f>
        <v>0</v>
      </c>
      <c r="N83" s="89">
        <f>IF(AND(E83=[1]OFICIAL!E77,[1]OFICIAL!E77="X"),5,0)</f>
        <v>0</v>
      </c>
      <c r="O83" s="89">
        <f>IF(AND(F83=[1]OFICIAL!F77,[1]OFICIAL!F77="X"),8,0)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IF(AND(C84=[1]OFICIAL!C78,[1]OFICIAL!C78="X"),1,0)</f>
        <v>0</v>
      </c>
      <c r="M84" s="89">
        <f>IF(AND(D84=[1]OFICIAL!D78,[1]OFICIAL!D78="X"),2,0)</f>
        <v>0</v>
      </c>
      <c r="N84" s="89">
        <f>IF(AND(E84=[1]OFICIAL!E78,[1]OFICIAL!E78="X"),5,0)</f>
        <v>0</v>
      </c>
      <c r="O84" s="89">
        <f>IF(AND(F84=[1]OFICIAL!F78,[1]OFICIAL!F78="X"),8,0)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IF(AND(C85=[1]OFICIAL!C79,[1]OFICIAL!C79="X"),1,0)</f>
        <v>0</v>
      </c>
      <c r="M85" s="89">
        <f>IF(AND(D85=[1]OFICIAL!D79,[1]OFICIAL!D79="X"),2,0)</f>
        <v>0</v>
      </c>
      <c r="N85" s="89">
        <f>IF(AND(E85=[1]OFICIAL!E79,[1]OFICIAL!E79="X"),5,0)</f>
        <v>0</v>
      </c>
      <c r="O85" s="89">
        <f>IF(AND(F85=[1]OFICIAL!F79,[1]OFICIAL!F79="X"),8,0)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IF(AND(C86=[1]OFICIAL!C80,[1]OFICIAL!C80="X"),1,0)</f>
        <v>0</v>
      </c>
      <c r="M86" s="89">
        <f>IF(AND(D86=[1]OFICIAL!D80,[1]OFICIAL!D80="X"),2,0)</f>
        <v>0</v>
      </c>
      <c r="N86" s="89">
        <f>IF(AND(E86=[1]OFICIAL!E80,[1]OFICIAL!E80="X"),5,0)</f>
        <v>0</v>
      </c>
      <c r="O86" s="89">
        <f>IF(AND(F86=[1]OFICIAL!F80,[1]OFICIAL!F80="X"),8,0)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IF(AND(C87=[1]OFICIAL!C81,[1]OFICIAL!C81="X"),1,0)</f>
        <v>0</v>
      </c>
      <c r="M87" s="89">
        <f>IF(AND(D87=[1]OFICIAL!D81,[1]OFICIAL!D81="X"),2,0)</f>
        <v>0</v>
      </c>
      <c r="N87" s="89">
        <f>IF(AND(E87=[1]OFICIAL!E81,[1]OFICIAL!E81="X"),5,0)</f>
        <v>0</v>
      </c>
      <c r="O87" s="89">
        <f>IF(AND(F87=[1]OFICIAL!F81,[1]OFICIAL!F81="X"),8,0)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IF(AND(C88=[1]OFICIAL!C82,[1]OFICIAL!C82="X"),1,0)</f>
        <v>0</v>
      </c>
      <c r="M88" s="89">
        <f>IF(AND(D88=[1]OFICIAL!D82,[1]OFICIAL!D82="X"),2,0)</f>
        <v>0</v>
      </c>
      <c r="N88" s="89">
        <f>IF(AND(E88=[1]OFICIAL!E82,[1]OFICIAL!E82="X"),5,0)</f>
        <v>0</v>
      </c>
      <c r="O88" s="89">
        <f>IF(AND(F88=[1]OFICIAL!F82,[1]OFICIAL!F82="X"),8,0)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IF(AND(C89=[1]OFICIAL!C83,[1]OFICIAL!C83="X"),1,0)</f>
        <v>0</v>
      </c>
      <c r="M89" s="89">
        <f>IF(AND(D89=[1]OFICIAL!D83,[1]OFICIAL!D83="X"),2,0)</f>
        <v>0</v>
      </c>
      <c r="N89" s="89">
        <f>IF(AND(E89=[1]OFICIAL!E83,[1]OFICIAL!E83="X"),5,0)</f>
        <v>0</v>
      </c>
      <c r="O89" s="89">
        <f>IF(AND(F89=[1]OFICIAL!F83,[1]OFICIAL!F83="X"),8,0)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IF(AND(C90=[1]OFICIAL!C84,[1]OFICIAL!C84="X"),1,0)</f>
        <v>0</v>
      </c>
      <c r="M90" s="89">
        <f>IF(AND(D90=[1]OFICIAL!D84,[1]OFICIAL!D84="X"),2,0)</f>
        <v>0</v>
      </c>
      <c r="N90" s="89">
        <f>IF(AND(E90=[1]OFICIAL!E84,[1]OFICIAL!E84="X"),5,0)</f>
        <v>0</v>
      </c>
      <c r="O90" s="89">
        <f>IF(AND(F90=[1]OFICIAL!F84,[1]OFICIAL!F84="X"),8,0)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IF(AND(C91=[1]OFICIAL!C85,[1]OFICIAL!C85="X"),1,0)</f>
        <v>0</v>
      </c>
      <c r="M91" s="89">
        <f>IF(AND(D91=[1]OFICIAL!D85,[1]OFICIAL!D85="X"),2,0)</f>
        <v>0</v>
      </c>
      <c r="N91" s="89">
        <f>IF(AND(E91=[1]OFICIAL!E85,[1]OFICIAL!E85="X"),5,0)</f>
        <v>0</v>
      </c>
      <c r="O91" s="89">
        <f>IF(AND(F91=[1]OFICIAL!F85,[1]OFICIAL!F85="X"),8,0)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IF(AND(C92=[1]OFICIAL!C86,[1]OFICIAL!C86="X"),1,0)</f>
        <v>0</v>
      </c>
      <c r="M92" s="68">
        <f>IF(AND(D92=[1]OFICIAL!D86,[1]OFICIAL!D86="X"),2,0)</f>
        <v>0</v>
      </c>
      <c r="N92" s="68">
        <f>IF(AND(E92=[1]OFICIAL!E86,[1]OFICIAL!E86="X"),5,0)</f>
        <v>0</v>
      </c>
      <c r="O92" s="68">
        <f>IF(AND(F92=[1]OFICIAL!F86,[1]OFICIAL!F86="X"),8,0)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IF(AND(C93=[1]OFICIAL!C87,[1]OFICIAL!C87="X"),1,0)</f>
        <v>0</v>
      </c>
      <c r="M93" s="68">
        <f>IF(AND(D93=[1]OFICIAL!D87,[1]OFICIAL!D87="X"),2,0)</f>
        <v>0</v>
      </c>
      <c r="N93" s="68">
        <f>IF(AND(E93=[1]OFICIAL!E87,[1]OFICIAL!E87="X"),5,0)</f>
        <v>0</v>
      </c>
      <c r="O93" s="68">
        <f>IF(AND(F93=[1]OFICIAL!F87,[1]OFICIAL!F87="X"),8,0)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/>
      <c r="E94" s="88"/>
      <c r="F94" s="88"/>
      <c r="L94" s="68">
        <f>IF(AND(C94=[1]OFICIAL!C88,[1]OFICIAL!C88="X"),1,0)</f>
        <v>0</v>
      </c>
      <c r="M94" s="68">
        <f>IF(AND(D94=[1]OFICIAL!D88,[1]OFICIAL!D88="X"),2,0)</f>
        <v>0</v>
      </c>
      <c r="N94" s="68">
        <f>IF(AND(E94=[1]OFICIAL!E88,[1]OFICIAL!E88="X"),5,0)</f>
        <v>0</v>
      </c>
      <c r="O94" s="68">
        <f>IF(AND(F94=[1]OFICIAL!F88,[1]OFICIAL!F88="X"),8,0)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IF(AND(C95=[1]OFICIAL!C89,[1]OFICIAL!C89="X"),1,0)</f>
        <v>0</v>
      </c>
      <c r="M95" s="68">
        <f>IF(AND(D95=[1]OFICIAL!D89,[1]OFICIAL!D89="X"),2,0)</f>
        <v>0</v>
      </c>
      <c r="N95" s="68">
        <f>IF(AND(E95=[1]OFICIAL!E89,[1]OFICIAL!E89="X"),5,0)</f>
        <v>0</v>
      </c>
      <c r="O95" s="68">
        <f>IF(AND(F95=[1]OFICIAL!F89,[1]OFICIAL!F89="X"),8,0)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/>
      <c r="F96" s="88"/>
      <c r="L96" s="68">
        <f>IF(AND(C96=[1]OFICIAL!C90,[1]OFICIAL!C90="X"),1,0)</f>
        <v>0</v>
      </c>
      <c r="M96" s="68">
        <f>IF(AND(D96=[1]OFICIAL!D90,[1]OFICIAL!D90="X"),2,0)</f>
        <v>0</v>
      </c>
      <c r="N96" s="68">
        <f>IF(AND(E96=[1]OFICIAL!E90,[1]OFICIAL!E90="X"),5,0)</f>
        <v>0</v>
      </c>
      <c r="O96" s="68">
        <f>IF(AND(F96=[1]OFICIAL!F90,[1]OFICIAL!F90="X"),8,0)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IF(AND(C97=[1]OFICIAL!C91,[1]OFICIAL!C91="X"),1,0)</f>
        <v>0</v>
      </c>
      <c r="M97" s="68">
        <f>IF(AND(D97=[1]OFICIAL!D91,[1]OFICIAL!D91="X"),2,0)</f>
        <v>0</v>
      </c>
      <c r="N97" s="68">
        <f>IF(AND(E97=[1]OFICIAL!E91,[1]OFICIAL!E91="X"),5,0)</f>
        <v>0</v>
      </c>
      <c r="O97" s="68">
        <f>IF(AND(F97=[1]OFICIAL!F91,[1]OFICIAL!F91="X"),8,0)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IF(AND(C98=[1]OFICIAL!C92,[1]OFICIAL!C92="X"),1,0)</f>
        <v>0</v>
      </c>
      <c r="M98" s="68">
        <f>IF(AND(D98=[1]OFICIAL!D92,[1]OFICIAL!D92="X"),2,0)</f>
        <v>0</v>
      </c>
      <c r="N98" s="68">
        <f>IF(AND(E98=[1]OFICIAL!E92,[1]OFICIAL!E92="X"),5,0)</f>
        <v>0</v>
      </c>
      <c r="O98" s="68">
        <f>IF(AND(F98=[1]OFICIAL!F92,[1]OFICIAL!F92="X"),8,0)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IF(AND(C99=[1]OFICIAL!C93,[1]OFICIAL!C93="X"),1,0)</f>
        <v>0</v>
      </c>
      <c r="M99" s="68">
        <f>IF(AND(D99=[1]OFICIAL!D93,[1]OFICIAL!D93="X"),2,0)</f>
        <v>0</v>
      </c>
      <c r="N99" s="68">
        <f>IF(AND(E99=[1]OFICIAL!E93,[1]OFICIAL!E93="X"),5,0)</f>
        <v>0</v>
      </c>
      <c r="O99" s="68">
        <f>IF(AND(F99=[1]OFICIAL!F93,[1]OFICIAL!F93="X"),8,0)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 t="s">
        <v>98</v>
      </c>
      <c r="L100" s="68">
        <f>IF(AND(C100=[1]OFICIAL!C94,[1]OFICIAL!C94="X"),1,0)</f>
        <v>0</v>
      </c>
      <c r="M100" s="68">
        <f>IF(AND(D100=[1]OFICIAL!D94,[1]OFICIAL!D94="X"),2,0)</f>
        <v>0</v>
      </c>
      <c r="N100" s="68">
        <f>IF(AND(E100=[1]OFICIAL!E94,[1]OFICIAL!E94="X"),5,0)</f>
        <v>0</v>
      </c>
      <c r="O100" s="68">
        <f>IF(AND(F100=[1]OFICIAL!F94,[1]OFICIAL!F94="X"),8,0)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IF(AND(C101=[1]OFICIAL!C95,[1]OFICIAL!C95="X"),1,0)</f>
        <v>0</v>
      </c>
      <c r="M101" s="68">
        <f>IF(AND(D101=[1]OFICIAL!D95,[1]OFICIAL!D95="X"),2,0)</f>
        <v>0</v>
      </c>
      <c r="N101" s="68">
        <f>IF(AND(E101=[1]OFICIAL!E95,[1]OFICIAL!E95="X"),5,0)</f>
        <v>0</v>
      </c>
      <c r="O101" s="68">
        <f>IF(AND(F101=[1]OFICIAL!F95,[1]OFICIAL!F95="X"),8,0)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IF(AND(C102=[1]OFICIAL!C96,[1]OFICIAL!C96="X"),1,0)</f>
        <v>0</v>
      </c>
      <c r="M102" s="68">
        <f>IF(AND(D102=[1]OFICIAL!D96,[1]OFICIAL!D96="X"),2,0)</f>
        <v>0</v>
      </c>
      <c r="N102" s="68">
        <f>IF(AND(E102=[1]OFICIAL!E96,[1]OFICIAL!E96="X"),5,0)</f>
        <v>0</v>
      </c>
      <c r="O102" s="68">
        <f>IF(AND(F102=[1]OFICIAL!F96,[1]OFICIAL!F96="X"),8,0)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IF(AND(C103=[1]OFICIAL!C97,[1]OFICIAL!C97="X"),1,0)</f>
        <v>0</v>
      </c>
      <c r="M103" s="68">
        <f>IF(AND(D103=[1]OFICIAL!D97,[1]OFICIAL!D97="X"),2,0)</f>
        <v>0</v>
      </c>
      <c r="N103" s="68">
        <f>IF(AND(E103=[1]OFICIAL!E97,[1]OFICIAL!E97="X"),5,0)</f>
        <v>0</v>
      </c>
      <c r="O103" s="68">
        <f>IF(AND(F103=[1]OFICIAL!F97,[1]OFICIAL!F97="X"),8,0)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IF(AND(C104=[1]OFICIAL!C98,[1]OFICIAL!C98="X"),1,0)</f>
        <v>0</v>
      </c>
      <c r="M104" s="68">
        <f>IF(AND(D104=[1]OFICIAL!D98,[1]OFICIAL!D98="X"),2,0)</f>
        <v>0</v>
      </c>
      <c r="N104" s="68">
        <f>IF(AND(E104=[1]OFICIAL!E98,[1]OFICIAL!E98="X"),5,0)</f>
        <v>0</v>
      </c>
      <c r="O104" s="68">
        <f>IF(AND(F104=[1]OFICIAL!F98,[1]OFICIAL!F98="X"),8,0)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IF(AND(C105=[1]OFICIAL!C99,[1]OFICIAL!C99="X"),1,0)</f>
        <v>0</v>
      </c>
      <c r="M105" s="68">
        <f>IF(AND(D105=[1]OFICIAL!D99,[1]OFICIAL!D99="X"),2,0)</f>
        <v>0</v>
      </c>
      <c r="N105" s="68">
        <f>IF(AND(E105=[1]OFICIAL!E99,[1]OFICIAL!E99="X"),5,0)</f>
        <v>0</v>
      </c>
      <c r="O105" s="68">
        <f>IF(AND(F105=[1]OFICIAL!F99,[1]OFICIAL!F99="X"),8,0)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IF(AND(C106=[1]OFICIAL!C100,[1]OFICIAL!C100="X"),1,0)</f>
        <v>0</v>
      </c>
      <c r="M106" s="68">
        <f>IF(AND(D106=[1]OFICIAL!D100,[1]OFICIAL!D100="X"),2,0)</f>
        <v>0</v>
      </c>
      <c r="N106" s="68">
        <f>IF(AND(E106=[1]OFICIAL!E100,[1]OFICIAL!E100="X"),5,0)</f>
        <v>0</v>
      </c>
      <c r="O106" s="68">
        <f>IF(AND(F106=[1]OFICIAL!F100,[1]OFICIAL!F100="X"),8,0)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IF(AND(C107=[1]OFICIAL!C101,[1]OFICIAL!C101="X"),1,0)</f>
        <v>0</v>
      </c>
      <c r="M107" s="68">
        <f>IF(AND(D107=[1]OFICIAL!D101,[1]OFICIAL!D101="X"),2,0)</f>
        <v>0</v>
      </c>
      <c r="N107" s="68">
        <f>IF(AND(E107=[1]OFICIAL!E101,[1]OFICIAL!E101="X"),5,0)</f>
        <v>0</v>
      </c>
      <c r="O107" s="68">
        <f>IF(AND(F107=[1]OFICIAL!F101,[1]OFICIAL!F101="X"),8,0)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20</v>
      </c>
      <c r="D113" s="57" t="s">
        <v>69</v>
      </c>
      <c r="S113" s="68">
        <f>IF(B113=[1]OFICIAL!B105,10,0)</f>
        <v>0</v>
      </c>
    </row>
    <row r="114" spans="1:19" ht="12.75" customHeight="1" x14ac:dyDescent="0.2">
      <c r="A114" s="52" t="s">
        <v>64</v>
      </c>
      <c r="B114" s="93" t="s">
        <v>7</v>
      </c>
      <c r="D114" s="57" t="s">
        <v>70</v>
      </c>
      <c r="S114" s="68">
        <f>IF(B114=[1]OFICIAL!B106,8,0)</f>
        <v>0</v>
      </c>
    </row>
    <row r="115" spans="1:19" ht="12.75" customHeight="1" x14ac:dyDescent="0.2">
      <c r="A115" s="52" t="s">
        <v>65</v>
      </c>
      <c r="B115" s="93" t="s">
        <v>22</v>
      </c>
      <c r="D115" s="57" t="s">
        <v>71</v>
      </c>
      <c r="S115" s="68">
        <f>IF(B115=[1]OFICIAL!B107,6,0)</f>
        <v>0</v>
      </c>
    </row>
    <row r="116" spans="1:19" ht="12.75" customHeight="1" x14ac:dyDescent="0.2">
      <c r="A116" s="52" t="s">
        <v>66</v>
      </c>
      <c r="B116" s="93" t="s">
        <v>5</v>
      </c>
      <c r="D116" s="57" t="s">
        <v>72</v>
      </c>
      <c r="S116" s="68">
        <f>IF(B116=[1]OFICIAL!B108,4,0)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131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132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133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24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24</v>
      </c>
      <c r="R135" s="125"/>
      <c r="S135" s="125"/>
    </row>
  </sheetData>
  <sheetProtection algorithmName="SHA-512" hashValue="ZeDaZ7PBklo97ByxRk9yOGHp02g+2mTwfNiPIs54c2pC5vFo4UCq4QKVyrSzTNCAzYADlpT2QaLnTaw5VBnqew==" saltValue="IjsFJHIopUWd+s601u+bU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489" priority="67" stopIfTrue="1" operator="lessThan">
      <formula>0</formula>
    </cfRule>
  </conditionalFormatting>
  <conditionalFormatting sqref="C99:D101">
    <cfRule type="cellIs" dxfId="488" priority="66" stopIfTrue="1" operator="lessThan">
      <formula>0</formula>
    </cfRule>
  </conditionalFormatting>
  <conditionalFormatting sqref="D11:F16">
    <cfRule type="cellIs" dxfId="487" priority="1" stopIfTrue="1" operator="lessThan">
      <formula>0</formula>
    </cfRule>
  </conditionalFormatting>
  <conditionalFormatting sqref="G11:H16 G18:H23 G25:H30 G32:H37 G39:H44 G46:H51 G53:H58 G60:H65">
    <cfRule type="cellIs" dxfId="486" priority="68" stopIfTrue="1" operator="equal">
      <formula>-1</formula>
    </cfRule>
  </conditionalFormatting>
  <conditionalFormatting sqref="L18:M18">
    <cfRule type="cellIs" dxfId="485" priority="30" stopIfTrue="1" operator="equal">
      <formula>-1</formula>
    </cfRule>
  </conditionalFormatting>
  <conditionalFormatting sqref="L25:M25">
    <cfRule type="cellIs" dxfId="484" priority="27" stopIfTrue="1" operator="equal">
      <formula>-1</formula>
    </cfRule>
  </conditionalFormatting>
  <conditionalFormatting sqref="L32:M32">
    <cfRule type="cellIs" dxfId="483" priority="24" stopIfTrue="1" operator="equal">
      <formula>-1</formula>
    </cfRule>
  </conditionalFormatting>
  <conditionalFormatting sqref="L39:M39">
    <cfRule type="cellIs" dxfId="482" priority="21" stopIfTrue="1" operator="equal">
      <formula>-1</formula>
    </cfRule>
  </conditionalFormatting>
  <conditionalFormatting sqref="L46:M46">
    <cfRule type="cellIs" dxfId="481" priority="18" stopIfTrue="1" operator="equal">
      <formula>-1</formula>
    </cfRule>
  </conditionalFormatting>
  <conditionalFormatting sqref="L53:M53">
    <cfRule type="cellIs" dxfId="480" priority="15" stopIfTrue="1" operator="equal">
      <formula>-1</formula>
    </cfRule>
  </conditionalFormatting>
  <conditionalFormatting sqref="L60:M60">
    <cfRule type="cellIs" dxfId="479" priority="12" stopIfTrue="1" operator="equal">
      <formula>-1</formula>
    </cfRule>
  </conditionalFormatting>
  <conditionalFormatting sqref="L11:O16">
    <cfRule type="cellIs" dxfId="478" priority="63" stopIfTrue="1" operator="equal">
      <formula>-1</formula>
    </cfRule>
    <cfRule type="cellIs" dxfId="477" priority="32" stopIfTrue="1" operator="equal">
      <formula>-1</formula>
    </cfRule>
  </conditionalFormatting>
  <conditionalFormatting sqref="L18:O23">
    <cfRule type="cellIs" dxfId="476" priority="10" stopIfTrue="1" operator="equal">
      <formula>-1</formula>
    </cfRule>
    <cfRule type="cellIs" dxfId="475" priority="41" stopIfTrue="1" operator="equal">
      <formula>-1</formula>
    </cfRule>
  </conditionalFormatting>
  <conditionalFormatting sqref="L25:O30">
    <cfRule type="cellIs" dxfId="474" priority="9" stopIfTrue="1" operator="equal">
      <formula>-1</formula>
    </cfRule>
    <cfRule type="cellIs" dxfId="473" priority="40" stopIfTrue="1" operator="equal">
      <formula>-1</formula>
    </cfRule>
  </conditionalFormatting>
  <conditionalFormatting sqref="L32:O37">
    <cfRule type="cellIs" dxfId="472" priority="8" stopIfTrue="1" operator="equal">
      <formula>-1</formula>
    </cfRule>
    <cfRule type="cellIs" dxfId="471" priority="39" stopIfTrue="1" operator="equal">
      <formula>-1</formula>
    </cfRule>
  </conditionalFormatting>
  <conditionalFormatting sqref="L39:O44">
    <cfRule type="cellIs" dxfId="470" priority="7" stopIfTrue="1" operator="equal">
      <formula>-1</formula>
    </cfRule>
    <cfRule type="cellIs" dxfId="469" priority="38" stopIfTrue="1" operator="equal">
      <formula>-1</formula>
    </cfRule>
  </conditionalFormatting>
  <conditionalFormatting sqref="L46:O51">
    <cfRule type="cellIs" dxfId="468" priority="6" stopIfTrue="1" operator="equal">
      <formula>-1</formula>
    </cfRule>
    <cfRule type="cellIs" dxfId="467" priority="37" stopIfTrue="1" operator="equal">
      <formula>-1</formula>
    </cfRule>
  </conditionalFormatting>
  <conditionalFormatting sqref="L53:O58">
    <cfRule type="cellIs" dxfId="466" priority="5" stopIfTrue="1" operator="equal">
      <formula>-1</formula>
    </cfRule>
    <cfRule type="cellIs" dxfId="465" priority="36" stopIfTrue="1" operator="equal">
      <formula>-1</formula>
    </cfRule>
  </conditionalFormatting>
  <conditionalFormatting sqref="L60:O65">
    <cfRule type="cellIs" dxfId="464" priority="4" stopIfTrue="1" operator="equal">
      <formula>-1</formula>
    </cfRule>
    <cfRule type="cellIs" dxfId="463" priority="35" stopIfTrue="1" operator="equal">
      <formula>-1</formula>
    </cfRule>
  </conditionalFormatting>
  <conditionalFormatting sqref="L76:O107">
    <cfRule type="cellIs" dxfId="462" priority="3" stopIfTrue="1" operator="lessThan">
      <formula>0</formula>
    </cfRule>
  </conditionalFormatting>
  <conditionalFormatting sqref="N11:N65">
    <cfRule type="cellIs" dxfId="461" priority="33" stopIfTrue="1" operator="equal">
      <formula>-1</formula>
    </cfRule>
    <cfRule type="cellIs" dxfId="46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459" priority="70" stopIfTrue="1" operator="lessThan">
      <formula>0</formula>
    </cfRule>
  </conditionalFormatting>
  <conditionalFormatting sqref="N11:O65">
    <cfRule type="cellIs" dxfId="458" priority="34" stopIfTrue="1" operator="lessThan">
      <formula>0</formula>
    </cfRule>
    <cfRule type="cellIs" dxfId="457" priority="65" stopIfTrue="1" operator="lessThan">
      <formula>0</formula>
    </cfRule>
  </conditionalFormatting>
  <conditionalFormatting sqref="O11:O16 N11:N65 O18:O23 O25:O30 O32:O37 O39:O44 O46:O51 O53:O58 O60:O65">
    <cfRule type="cellIs" dxfId="456" priority="69" stopIfTrue="1" operator="equal">
      <formula>-1</formula>
    </cfRule>
  </conditionalFormatting>
  <conditionalFormatting sqref="S113:S116">
    <cfRule type="cellIs" dxfId="45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1952-901F-46E5-93F2-BB459267507E}">
  <dimension ref="A1:AD135"/>
  <sheetViews>
    <sheetView workbookViewId="0">
      <pane ySplit="9" topLeftCell="A10" activePane="bottomLeft" state="frozen"/>
      <selection activeCell="H7" sqref="H7"/>
      <selection pane="bottomLeft" activeCell="Q28" sqref="Q28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134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2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1</v>
      </c>
      <c r="R12" s="68">
        <f t="shared" si="1"/>
        <v>0</v>
      </c>
      <c r="S12" s="68">
        <f t="shared" si="2"/>
        <v>1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3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4</v>
      </c>
      <c r="H25" s="66">
        <v>1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1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1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2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2</v>
      </c>
      <c r="H42" s="66">
        <v>3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2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1</v>
      </c>
      <c r="R48" s="68">
        <f t="shared" si="16"/>
        <v>0</v>
      </c>
      <c r="S48" s="68">
        <f t="shared" si="17"/>
        <v>1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2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1</v>
      </c>
      <c r="R53" s="68">
        <f t="shared" ref="R53:R58" si="19">IF(AND(G53=L53,H53=N53,L53&gt;-1,G53&gt;-1),3,0)</f>
        <v>0</v>
      </c>
      <c r="S53" s="68">
        <f t="shared" ref="S53:S58" si="20">Q53+R53</f>
        <v>1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4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2</v>
      </c>
      <c r="H55" s="66">
        <v>2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3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2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3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11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 t="s">
        <v>98</v>
      </c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22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135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136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11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11</v>
      </c>
      <c r="R135" s="125"/>
      <c r="S135" s="125"/>
    </row>
  </sheetData>
  <sheetProtection algorithmName="SHA-512" hashValue="1ZFYlrX24JkdHNcsc7MV7LYGiXMDYJVMntaDIKXaTufOTlbhPqKYusbWCSEFtejVBgk2Bg9VfYQXLT2pW/Rbsg==" saltValue="+Q+WIMKmpji667oxNJx4kA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454" priority="67" stopIfTrue="1" operator="lessThan">
      <formula>0</formula>
    </cfRule>
  </conditionalFormatting>
  <conditionalFormatting sqref="C99:D101">
    <cfRule type="cellIs" dxfId="453" priority="66" stopIfTrue="1" operator="lessThan">
      <formula>0</formula>
    </cfRule>
  </conditionalFormatting>
  <conditionalFormatting sqref="D11:F16">
    <cfRule type="cellIs" dxfId="452" priority="1" stopIfTrue="1" operator="lessThan">
      <formula>0</formula>
    </cfRule>
  </conditionalFormatting>
  <conditionalFormatting sqref="G11:H16 G18:H23 G25:H30 G32:H37 G39:H44 G46:H51 G53:H58 G60:H65">
    <cfRule type="cellIs" dxfId="451" priority="68" stopIfTrue="1" operator="equal">
      <formula>-1</formula>
    </cfRule>
  </conditionalFormatting>
  <conditionalFormatting sqref="L18:M18">
    <cfRule type="cellIs" dxfId="450" priority="30" stopIfTrue="1" operator="equal">
      <formula>-1</formula>
    </cfRule>
  </conditionalFormatting>
  <conditionalFormatting sqref="L25:M25">
    <cfRule type="cellIs" dxfId="449" priority="27" stopIfTrue="1" operator="equal">
      <formula>-1</formula>
    </cfRule>
  </conditionalFormatting>
  <conditionalFormatting sqref="L32:M32">
    <cfRule type="cellIs" dxfId="448" priority="24" stopIfTrue="1" operator="equal">
      <formula>-1</formula>
    </cfRule>
  </conditionalFormatting>
  <conditionalFormatting sqref="L39:M39">
    <cfRule type="cellIs" dxfId="447" priority="21" stopIfTrue="1" operator="equal">
      <formula>-1</formula>
    </cfRule>
  </conditionalFormatting>
  <conditionalFormatting sqref="L46:M46">
    <cfRule type="cellIs" dxfId="446" priority="18" stopIfTrue="1" operator="equal">
      <formula>-1</formula>
    </cfRule>
  </conditionalFormatting>
  <conditionalFormatting sqref="L53:M53">
    <cfRule type="cellIs" dxfId="445" priority="15" stopIfTrue="1" operator="equal">
      <formula>-1</formula>
    </cfRule>
  </conditionalFormatting>
  <conditionalFormatting sqref="L60:M60">
    <cfRule type="cellIs" dxfId="444" priority="12" stopIfTrue="1" operator="equal">
      <formula>-1</formula>
    </cfRule>
  </conditionalFormatting>
  <conditionalFormatting sqref="L11:O16">
    <cfRule type="cellIs" dxfId="443" priority="63" stopIfTrue="1" operator="equal">
      <formula>-1</formula>
    </cfRule>
    <cfRule type="cellIs" dxfId="442" priority="32" stopIfTrue="1" operator="equal">
      <formula>-1</formula>
    </cfRule>
  </conditionalFormatting>
  <conditionalFormatting sqref="L18:O23">
    <cfRule type="cellIs" dxfId="441" priority="10" stopIfTrue="1" operator="equal">
      <formula>-1</formula>
    </cfRule>
    <cfRule type="cellIs" dxfId="440" priority="41" stopIfTrue="1" operator="equal">
      <formula>-1</formula>
    </cfRule>
  </conditionalFormatting>
  <conditionalFormatting sqref="L25:O30">
    <cfRule type="cellIs" dxfId="439" priority="9" stopIfTrue="1" operator="equal">
      <formula>-1</formula>
    </cfRule>
    <cfRule type="cellIs" dxfId="438" priority="40" stopIfTrue="1" operator="equal">
      <formula>-1</formula>
    </cfRule>
  </conditionalFormatting>
  <conditionalFormatting sqref="L32:O37">
    <cfRule type="cellIs" dxfId="437" priority="8" stopIfTrue="1" operator="equal">
      <formula>-1</formula>
    </cfRule>
    <cfRule type="cellIs" dxfId="436" priority="39" stopIfTrue="1" operator="equal">
      <formula>-1</formula>
    </cfRule>
  </conditionalFormatting>
  <conditionalFormatting sqref="L39:O44">
    <cfRule type="cellIs" dxfId="435" priority="7" stopIfTrue="1" operator="equal">
      <formula>-1</formula>
    </cfRule>
    <cfRule type="cellIs" dxfId="434" priority="38" stopIfTrue="1" operator="equal">
      <formula>-1</formula>
    </cfRule>
  </conditionalFormatting>
  <conditionalFormatting sqref="L46:O51">
    <cfRule type="cellIs" dxfId="433" priority="6" stopIfTrue="1" operator="equal">
      <formula>-1</formula>
    </cfRule>
    <cfRule type="cellIs" dxfId="432" priority="37" stopIfTrue="1" operator="equal">
      <formula>-1</formula>
    </cfRule>
  </conditionalFormatting>
  <conditionalFormatting sqref="L53:O58">
    <cfRule type="cellIs" dxfId="431" priority="5" stopIfTrue="1" operator="equal">
      <formula>-1</formula>
    </cfRule>
    <cfRule type="cellIs" dxfId="430" priority="36" stopIfTrue="1" operator="equal">
      <formula>-1</formula>
    </cfRule>
  </conditionalFormatting>
  <conditionalFormatting sqref="L60:O65">
    <cfRule type="cellIs" dxfId="429" priority="4" stopIfTrue="1" operator="equal">
      <formula>-1</formula>
    </cfRule>
    <cfRule type="cellIs" dxfId="428" priority="35" stopIfTrue="1" operator="equal">
      <formula>-1</formula>
    </cfRule>
  </conditionalFormatting>
  <conditionalFormatting sqref="L76:O107">
    <cfRule type="cellIs" dxfId="427" priority="3" stopIfTrue="1" operator="lessThan">
      <formula>0</formula>
    </cfRule>
  </conditionalFormatting>
  <conditionalFormatting sqref="N11:N65">
    <cfRule type="cellIs" dxfId="426" priority="33" stopIfTrue="1" operator="equal">
      <formula>-1</formula>
    </cfRule>
    <cfRule type="cellIs" dxfId="42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424" priority="70" stopIfTrue="1" operator="lessThan">
      <formula>0</formula>
    </cfRule>
  </conditionalFormatting>
  <conditionalFormatting sqref="N11:O65">
    <cfRule type="cellIs" dxfId="423" priority="34" stopIfTrue="1" operator="lessThan">
      <formula>0</formula>
    </cfRule>
    <cfRule type="cellIs" dxfId="422" priority="65" stopIfTrue="1" operator="lessThan">
      <formula>0</formula>
    </cfRule>
  </conditionalFormatting>
  <conditionalFormatting sqref="O11:O16 N11:N65 O18:O23 O25:O30 O32:O37 O39:O44 O46:O51 O53:O58 O60:O65">
    <cfRule type="cellIs" dxfId="421" priority="69" stopIfTrue="1" operator="equal">
      <formula>-1</formula>
    </cfRule>
  </conditionalFormatting>
  <conditionalFormatting sqref="S113:S116">
    <cfRule type="cellIs" dxfId="42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5A82-61F0-4E0F-8E54-1AA22FCA6DB8}">
  <dimension ref="A1:AD135"/>
  <sheetViews>
    <sheetView workbookViewId="0">
      <pane ySplit="9" topLeftCell="A10" activePane="bottomLeft" state="frozen"/>
      <selection activeCell="H7" sqref="H7"/>
      <selection pane="bottomLeft" activeCell="Q26" sqref="Q26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137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1</v>
      </c>
      <c r="R13" s="68">
        <f t="shared" si="1"/>
        <v>0</v>
      </c>
      <c r="S13" s="68">
        <f t="shared" si="2"/>
        <v>1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1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0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4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5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0</v>
      </c>
      <c r="H26" s="66">
        <v>1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3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0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3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3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2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3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0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7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 t="s">
        <v>98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/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 t="s">
        <v>98</v>
      </c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 t="s">
        <v>98</v>
      </c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126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125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138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139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127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7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7</v>
      </c>
      <c r="R135" s="125"/>
      <c r="S135" s="125"/>
    </row>
  </sheetData>
  <sheetProtection algorithmName="SHA-512" hashValue="Rq7BDUih4cU/CH3uoRQ0FA4MdM684Vf1056yTROmjFDOKu4kbV1Ahv9TW7zZACcZm9ArW3/EWlVQwhm6Rv3SJQ==" saltValue="yr9bJI6EtvftH/3/krk9D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419" priority="67" stopIfTrue="1" operator="lessThan">
      <formula>0</formula>
    </cfRule>
  </conditionalFormatting>
  <conditionalFormatting sqref="C99:D101">
    <cfRule type="cellIs" dxfId="418" priority="66" stopIfTrue="1" operator="lessThan">
      <formula>0</formula>
    </cfRule>
  </conditionalFormatting>
  <conditionalFormatting sqref="D11:F16">
    <cfRule type="cellIs" dxfId="417" priority="1" stopIfTrue="1" operator="lessThan">
      <formula>0</formula>
    </cfRule>
  </conditionalFormatting>
  <conditionalFormatting sqref="G11:H16 G18:H23 G25:H30 G32:H37 G39:H44 G46:H51 G53:H58 G60:H65">
    <cfRule type="cellIs" dxfId="416" priority="68" stopIfTrue="1" operator="equal">
      <formula>-1</formula>
    </cfRule>
  </conditionalFormatting>
  <conditionalFormatting sqref="L18:M18">
    <cfRule type="cellIs" dxfId="415" priority="30" stopIfTrue="1" operator="equal">
      <formula>-1</formula>
    </cfRule>
  </conditionalFormatting>
  <conditionalFormatting sqref="L25:M25">
    <cfRule type="cellIs" dxfId="414" priority="27" stopIfTrue="1" operator="equal">
      <formula>-1</formula>
    </cfRule>
  </conditionalFormatting>
  <conditionalFormatting sqref="L32:M32">
    <cfRule type="cellIs" dxfId="413" priority="24" stopIfTrue="1" operator="equal">
      <formula>-1</formula>
    </cfRule>
  </conditionalFormatting>
  <conditionalFormatting sqref="L39:M39">
    <cfRule type="cellIs" dxfId="412" priority="21" stopIfTrue="1" operator="equal">
      <formula>-1</formula>
    </cfRule>
  </conditionalFormatting>
  <conditionalFormatting sqref="L46:M46">
    <cfRule type="cellIs" dxfId="411" priority="18" stopIfTrue="1" operator="equal">
      <formula>-1</formula>
    </cfRule>
  </conditionalFormatting>
  <conditionalFormatting sqref="L53:M53">
    <cfRule type="cellIs" dxfId="410" priority="15" stopIfTrue="1" operator="equal">
      <formula>-1</formula>
    </cfRule>
  </conditionalFormatting>
  <conditionalFormatting sqref="L60:M60">
    <cfRule type="cellIs" dxfId="409" priority="12" stopIfTrue="1" operator="equal">
      <formula>-1</formula>
    </cfRule>
  </conditionalFormatting>
  <conditionalFormatting sqref="L11:O16">
    <cfRule type="cellIs" dxfId="408" priority="63" stopIfTrue="1" operator="equal">
      <formula>-1</formula>
    </cfRule>
    <cfRule type="cellIs" dxfId="407" priority="32" stopIfTrue="1" operator="equal">
      <formula>-1</formula>
    </cfRule>
  </conditionalFormatting>
  <conditionalFormatting sqref="L18:O23">
    <cfRule type="cellIs" dxfId="406" priority="10" stopIfTrue="1" operator="equal">
      <formula>-1</formula>
    </cfRule>
    <cfRule type="cellIs" dxfId="405" priority="41" stopIfTrue="1" operator="equal">
      <formula>-1</formula>
    </cfRule>
  </conditionalFormatting>
  <conditionalFormatting sqref="L25:O30">
    <cfRule type="cellIs" dxfId="404" priority="9" stopIfTrue="1" operator="equal">
      <formula>-1</formula>
    </cfRule>
    <cfRule type="cellIs" dxfId="403" priority="40" stopIfTrue="1" operator="equal">
      <formula>-1</formula>
    </cfRule>
  </conditionalFormatting>
  <conditionalFormatting sqref="L32:O37">
    <cfRule type="cellIs" dxfId="402" priority="8" stopIfTrue="1" operator="equal">
      <formula>-1</formula>
    </cfRule>
    <cfRule type="cellIs" dxfId="401" priority="39" stopIfTrue="1" operator="equal">
      <formula>-1</formula>
    </cfRule>
  </conditionalFormatting>
  <conditionalFormatting sqref="L39:O44">
    <cfRule type="cellIs" dxfId="400" priority="7" stopIfTrue="1" operator="equal">
      <formula>-1</formula>
    </cfRule>
    <cfRule type="cellIs" dxfId="399" priority="38" stopIfTrue="1" operator="equal">
      <formula>-1</formula>
    </cfRule>
  </conditionalFormatting>
  <conditionalFormatting sqref="L46:O51">
    <cfRule type="cellIs" dxfId="398" priority="6" stopIfTrue="1" operator="equal">
      <formula>-1</formula>
    </cfRule>
    <cfRule type="cellIs" dxfId="397" priority="37" stopIfTrue="1" operator="equal">
      <formula>-1</formula>
    </cfRule>
  </conditionalFormatting>
  <conditionalFormatting sqref="L53:O58">
    <cfRule type="cellIs" dxfId="396" priority="5" stopIfTrue="1" operator="equal">
      <formula>-1</formula>
    </cfRule>
    <cfRule type="cellIs" dxfId="395" priority="36" stopIfTrue="1" operator="equal">
      <formula>-1</formula>
    </cfRule>
  </conditionalFormatting>
  <conditionalFormatting sqref="L60:O65">
    <cfRule type="cellIs" dxfId="394" priority="4" stopIfTrue="1" operator="equal">
      <formula>-1</formula>
    </cfRule>
    <cfRule type="cellIs" dxfId="393" priority="35" stopIfTrue="1" operator="equal">
      <formula>-1</formula>
    </cfRule>
  </conditionalFormatting>
  <conditionalFormatting sqref="L76:O107">
    <cfRule type="cellIs" dxfId="392" priority="3" stopIfTrue="1" operator="lessThan">
      <formula>0</formula>
    </cfRule>
  </conditionalFormatting>
  <conditionalFormatting sqref="N11:N65">
    <cfRule type="cellIs" dxfId="391" priority="33" stopIfTrue="1" operator="equal">
      <formula>-1</formula>
    </cfRule>
    <cfRule type="cellIs" dxfId="39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389" priority="70" stopIfTrue="1" operator="lessThan">
      <formula>0</formula>
    </cfRule>
  </conditionalFormatting>
  <conditionalFormatting sqref="N11:O65">
    <cfRule type="cellIs" dxfId="388" priority="34" stopIfTrue="1" operator="lessThan">
      <formula>0</formula>
    </cfRule>
    <cfRule type="cellIs" dxfId="387" priority="65" stopIfTrue="1" operator="lessThan">
      <formula>0</formula>
    </cfRule>
  </conditionalFormatting>
  <conditionalFormatting sqref="O11:O16 N11:N65 O18:O23 O25:O30 O32:O37 O39:O44 O46:O51 O53:O58 O60:O65">
    <cfRule type="cellIs" dxfId="386" priority="69" stopIfTrue="1" operator="equal">
      <formula>-1</formula>
    </cfRule>
  </conditionalFormatting>
  <conditionalFormatting sqref="S113:S116">
    <cfRule type="cellIs" dxfId="38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E55F-E528-4AE4-A9FA-B878360D1463}">
  <dimension ref="A1:AD135"/>
  <sheetViews>
    <sheetView workbookViewId="0">
      <pane ySplit="9" topLeftCell="A10" activePane="bottomLeft" state="frozen"/>
      <selection activeCell="H7" sqref="H7"/>
      <selection pane="bottomLeft" activeCell="R36" sqref="R36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165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0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1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0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1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1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0</v>
      </c>
      <c r="H16" s="66">
        <v>0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3</v>
      </c>
      <c r="S16" s="68">
        <f t="shared" si="2"/>
        <v>4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1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0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0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1</v>
      </c>
      <c r="R21" s="68">
        <f t="shared" si="4"/>
        <v>3</v>
      </c>
      <c r="S21" s="68">
        <f t="shared" si="5"/>
        <v>4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1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0</v>
      </c>
      <c r="H26" s="66">
        <v>0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3</v>
      </c>
      <c r="S26" s="68">
        <f t="shared" si="8"/>
        <v>4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1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1</v>
      </c>
      <c r="R28" s="68">
        <f t="shared" si="7"/>
        <v>0</v>
      </c>
      <c r="S28" s="68">
        <f t="shared" si="8"/>
        <v>1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1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0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1</v>
      </c>
      <c r="R32" s="68">
        <f t="shared" ref="R32:R37" si="10">IF(AND(G32=L32,H32=N32,L32&gt;-1,G32&gt;-1),3,0)</f>
        <v>3</v>
      </c>
      <c r="S32" s="68">
        <f t="shared" ref="S32:S37" si="11">Q32+R32</f>
        <v>4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0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3</v>
      </c>
      <c r="S34" s="68">
        <f t="shared" si="11"/>
        <v>4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0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0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3</v>
      </c>
      <c r="S37" s="68">
        <f t="shared" si="11"/>
        <v>4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0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1</v>
      </c>
      <c r="R40" s="68">
        <f t="shared" si="13"/>
        <v>3</v>
      </c>
      <c r="S40" s="68">
        <f t="shared" si="14"/>
        <v>4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0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1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1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0</v>
      </c>
      <c r="H46" s="66">
        <v>1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4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0</v>
      </c>
      <c r="H51" s="66">
        <v>2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0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1</v>
      </c>
      <c r="R53" s="68">
        <f t="shared" ref="R53:R58" si="19">IF(AND(G53=L53,H53=N53,L53&gt;-1,G53&gt;-1),3,0)</f>
        <v>3</v>
      </c>
      <c r="S53" s="68">
        <f t="shared" ref="S53:S58" si="20">Q53+R53</f>
        <v>4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1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1</v>
      </c>
      <c r="R54" s="68">
        <f t="shared" si="19"/>
        <v>0</v>
      </c>
      <c r="S54" s="68">
        <f t="shared" si="20"/>
        <v>1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1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0</v>
      </c>
      <c r="H57" s="66">
        <v>0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3</v>
      </c>
      <c r="S57" s="68">
        <f t="shared" si="20"/>
        <v>4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1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1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0</v>
      </c>
      <c r="H62" s="66">
        <v>0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3</v>
      </c>
      <c r="S62" s="68">
        <f t="shared" si="23"/>
        <v>4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0</v>
      </c>
      <c r="H63" s="66">
        <v>0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3</v>
      </c>
      <c r="S63" s="68">
        <f t="shared" si="23"/>
        <v>4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1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1</v>
      </c>
      <c r="R65" s="68">
        <f t="shared" si="22"/>
        <v>0</v>
      </c>
      <c r="S65" s="68">
        <f t="shared" si="23"/>
        <v>1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48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98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 t="s">
        <v>98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 t="s">
        <v>98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/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 t="s">
        <v>98</v>
      </c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9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11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77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142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143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48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48</v>
      </c>
      <c r="R135" s="125"/>
      <c r="S135" s="125"/>
    </row>
  </sheetData>
  <sheetProtection algorithmName="SHA-512" hashValue="yXojoWK5VVnXeEYbzHgAQXWDCFI0u11JBV3UK5z0lsdcJ8v7D5K5yhJ9h49UVb/1ZjAHBoLEviYI36w3XFmuwg==" saltValue="Ywgl06K37yGqsCRzo+TUog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384" priority="67" stopIfTrue="1" operator="lessThan">
      <formula>0</formula>
    </cfRule>
  </conditionalFormatting>
  <conditionalFormatting sqref="C99:D101">
    <cfRule type="cellIs" dxfId="383" priority="66" stopIfTrue="1" operator="lessThan">
      <formula>0</formula>
    </cfRule>
  </conditionalFormatting>
  <conditionalFormatting sqref="D11:F16">
    <cfRule type="cellIs" dxfId="382" priority="1" stopIfTrue="1" operator="lessThan">
      <formula>0</formula>
    </cfRule>
  </conditionalFormatting>
  <conditionalFormatting sqref="G11:H16 G18:H23 G25:H30 G32:H37 G39:H44 G46:H51 G53:H58 G60:H65">
    <cfRule type="cellIs" dxfId="381" priority="68" stopIfTrue="1" operator="equal">
      <formula>-1</formula>
    </cfRule>
  </conditionalFormatting>
  <conditionalFormatting sqref="L18:M18">
    <cfRule type="cellIs" dxfId="380" priority="30" stopIfTrue="1" operator="equal">
      <formula>-1</formula>
    </cfRule>
  </conditionalFormatting>
  <conditionalFormatting sqref="L25:M25">
    <cfRule type="cellIs" dxfId="379" priority="27" stopIfTrue="1" operator="equal">
      <formula>-1</formula>
    </cfRule>
  </conditionalFormatting>
  <conditionalFormatting sqref="L32:M32">
    <cfRule type="cellIs" dxfId="378" priority="24" stopIfTrue="1" operator="equal">
      <formula>-1</formula>
    </cfRule>
  </conditionalFormatting>
  <conditionalFormatting sqref="L39:M39">
    <cfRule type="cellIs" dxfId="377" priority="21" stopIfTrue="1" operator="equal">
      <formula>-1</formula>
    </cfRule>
  </conditionalFormatting>
  <conditionalFormatting sqref="L46:M46">
    <cfRule type="cellIs" dxfId="376" priority="18" stopIfTrue="1" operator="equal">
      <formula>-1</formula>
    </cfRule>
  </conditionalFormatting>
  <conditionalFormatting sqref="L53:M53">
    <cfRule type="cellIs" dxfId="375" priority="15" stopIfTrue="1" operator="equal">
      <formula>-1</formula>
    </cfRule>
  </conditionalFormatting>
  <conditionalFormatting sqref="L60:M60">
    <cfRule type="cellIs" dxfId="374" priority="12" stopIfTrue="1" operator="equal">
      <formula>-1</formula>
    </cfRule>
  </conditionalFormatting>
  <conditionalFormatting sqref="L11:O16">
    <cfRule type="cellIs" dxfId="373" priority="63" stopIfTrue="1" operator="equal">
      <formula>-1</formula>
    </cfRule>
    <cfRule type="cellIs" dxfId="372" priority="32" stopIfTrue="1" operator="equal">
      <formula>-1</formula>
    </cfRule>
  </conditionalFormatting>
  <conditionalFormatting sqref="L18:O23">
    <cfRule type="cellIs" dxfId="371" priority="10" stopIfTrue="1" operator="equal">
      <formula>-1</formula>
    </cfRule>
    <cfRule type="cellIs" dxfId="370" priority="41" stopIfTrue="1" operator="equal">
      <formula>-1</formula>
    </cfRule>
  </conditionalFormatting>
  <conditionalFormatting sqref="L25:O30">
    <cfRule type="cellIs" dxfId="369" priority="9" stopIfTrue="1" operator="equal">
      <formula>-1</formula>
    </cfRule>
    <cfRule type="cellIs" dxfId="368" priority="40" stopIfTrue="1" operator="equal">
      <formula>-1</formula>
    </cfRule>
  </conditionalFormatting>
  <conditionalFormatting sqref="L32:O37">
    <cfRule type="cellIs" dxfId="367" priority="8" stopIfTrue="1" operator="equal">
      <formula>-1</formula>
    </cfRule>
    <cfRule type="cellIs" dxfId="366" priority="39" stopIfTrue="1" operator="equal">
      <formula>-1</formula>
    </cfRule>
  </conditionalFormatting>
  <conditionalFormatting sqref="L39:O44">
    <cfRule type="cellIs" dxfId="365" priority="7" stopIfTrue="1" operator="equal">
      <formula>-1</formula>
    </cfRule>
    <cfRule type="cellIs" dxfId="364" priority="38" stopIfTrue="1" operator="equal">
      <formula>-1</formula>
    </cfRule>
  </conditionalFormatting>
  <conditionalFormatting sqref="L46:O51">
    <cfRule type="cellIs" dxfId="363" priority="6" stopIfTrue="1" operator="equal">
      <formula>-1</formula>
    </cfRule>
    <cfRule type="cellIs" dxfId="362" priority="37" stopIfTrue="1" operator="equal">
      <formula>-1</formula>
    </cfRule>
  </conditionalFormatting>
  <conditionalFormatting sqref="L53:O58">
    <cfRule type="cellIs" dxfId="361" priority="5" stopIfTrue="1" operator="equal">
      <formula>-1</formula>
    </cfRule>
    <cfRule type="cellIs" dxfId="360" priority="36" stopIfTrue="1" operator="equal">
      <formula>-1</formula>
    </cfRule>
  </conditionalFormatting>
  <conditionalFormatting sqref="L60:O65">
    <cfRule type="cellIs" dxfId="359" priority="4" stopIfTrue="1" operator="equal">
      <formula>-1</formula>
    </cfRule>
    <cfRule type="cellIs" dxfId="358" priority="35" stopIfTrue="1" operator="equal">
      <formula>-1</formula>
    </cfRule>
  </conditionalFormatting>
  <conditionalFormatting sqref="L76:O107">
    <cfRule type="cellIs" dxfId="357" priority="3" stopIfTrue="1" operator="lessThan">
      <formula>0</formula>
    </cfRule>
  </conditionalFormatting>
  <conditionalFormatting sqref="N11:N65">
    <cfRule type="cellIs" dxfId="356" priority="33" stopIfTrue="1" operator="equal">
      <formula>-1</formula>
    </cfRule>
    <cfRule type="cellIs" dxfId="35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354" priority="70" stopIfTrue="1" operator="lessThan">
      <formula>0</formula>
    </cfRule>
  </conditionalFormatting>
  <conditionalFormatting sqref="N11:O65">
    <cfRule type="cellIs" dxfId="353" priority="34" stopIfTrue="1" operator="lessThan">
      <formula>0</formula>
    </cfRule>
    <cfRule type="cellIs" dxfId="352" priority="65" stopIfTrue="1" operator="lessThan">
      <formula>0</formula>
    </cfRule>
  </conditionalFormatting>
  <conditionalFormatting sqref="O11:O16 N11:N65 O18:O23 O25:O30 O32:O37 O39:O44 O46:O51 O53:O58 O60:O65">
    <cfRule type="cellIs" dxfId="351" priority="69" stopIfTrue="1" operator="equal">
      <formula>-1</formula>
    </cfRule>
  </conditionalFormatting>
  <conditionalFormatting sqref="S113:S116">
    <cfRule type="cellIs" dxfId="35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47CD-4B28-42F2-A91A-D8E8F9173C6D}">
  <dimension ref="A1:AD135"/>
  <sheetViews>
    <sheetView workbookViewId="0">
      <pane ySplit="9" topLeftCell="A10" activePane="bottomLeft" state="frozen"/>
      <selection activeCell="H7" sqref="H7"/>
      <selection pane="bottomLeft" activeCell="S26" sqref="S26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144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3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2</v>
      </c>
      <c r="H13" s="66">
        <v>0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2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1</v>
      </c>
      <c r="R15" s="68">
        <f t="shared" si="1"/>
        <v>0</v>
      </c>
      <c r="S15" s="68">
        <f t="shared" si="2"/>
        <v>1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2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2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3</v>
      </c>
      <c r="H21" s="66">
        <v>2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3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5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1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3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2</v>
      </c>
      <c r="H30" s="66">
        <v>3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3</v>
      </c>
      <c r="H35" s="66">
        <v>2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3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1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3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2</v>
      </c>
      <c r="H42" s="66">
        <v>3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3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4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3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2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3</v>
      </c>
      <c r="H53" s="66">
        <v>2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4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3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4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0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2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148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 t="s">
        <v>148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148</v>
      </c>
      <c r="D80" s="88" t="s">
        <v>148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148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148</v>
      </c>
      <c r="D84" s="91" t="s">
        <v>148</v>
      </c>
      <c r="E84" s="88" t="s">
        <v>148</v>
      </c>
      <c r="F84" s="88" t="s">
        <v>148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148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148</v>
      </c>
      <c r="D88" s="88" t="s">
        <v>148</v>
      </c>
      <c r="E88" s="88" t="s">
        <v>148</v>
      </c>
      <c r="F88" s="88" t="s">
        <v>148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148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148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148</v>
      </c>
      <c r="D94" s="88" t="s">
        <v>148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148</v>
      </c>
      <c r="D96" s="88" t="s">
        <v>148</v>
      </c>
      <c r="E96" s="88" t="s">
        <v>148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148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148</v>
      </c>
      <c r="D100" s="88" t="s">
        <v>148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148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148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148</v>
      </c>
      <c r="D106" s="91" t="s">
        <v>148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140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7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164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2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2</v>
      </c>
      <c r="R135" s="125"/>
      <c r="S135" s="125"/>
    </row>
  </sheetData>
  <sheetProtection algorithmName="SHA-512" hashValue="I3YOUCceTjKtFh+SxnmZn8OvQvffk77EidX5nKOEfNnA1wQpBqdTa04Vws8DcHfH6IZTpO9aCQgUWdYlG1Vcbw==" saltValue="R7TQK+dwWI67MFgXoqRJxg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349" priority="67" stopIfTrue="1" operator="lessThan">
      <formula>0</formula>
    </cfRule>
  </conditionalFormatting>
  <conditionalFormatting sqref="C99:D101">
    <cfRule type="cellIs" dxfId="348" priority="66" stopIfTrue="1" operator="lessThan">
      <formula>0</formula>
    </cfRule>
  </conditionalFormatting>
  <conditionalFormatting sqref="D11:F16">
    <cfRule type="cellIs" dxfId="347" priority="1" stopIfTrue="1" operator="lessThan">
      <formula>0</formula>
    </cfRule>
  </conditionalFormatting>
  <conditionalFormatting sqref="G11:H16 G18:H23 G25:H30 G32:H37 G39:H44 G46:H51 G53:H58 G60:H65">
    <cfRule type="cellIs" dxfId="346" priority="68" stopIfTrue="1" operator="equal">
      <formula>-1</formula>
    </cfRule>
  </conditionalFormatting>
  <conditionalFormatting sqref="L18:M18">
    <cfRule type="cellIs" dxfId="345" priority="30" stopIfTrue="1" operator="equal">
      <formula>-1</formula>
    </cfRule>
  </conditionalFormatting>
  <conditionalFormatting sqref="L25:M25">
    <cfRule type="cellIs" dxfId="344" priority="27" stopIfTrue="1" operator="equal">
      <formula>-1</formula>
    </cfRule>
  </conditionalFormatting>
  <conditionalFormatting sqref="L32:M32">
    <cfRule type="cellIs" dxfId="343" priority="24" stopIfTrue="1" operator="equal">
      <formula>-1</formula>
    </cfRule>
  </conditionalFormatting>
  <conditionalFormatting sqref="L39:M39">
    <cfRule type="cellIs" dxfId="342" priority="21" stopIfTrue="1" operator="equal">
      <formula>-1</formula>
    </cfRule>
  </conditionalFormatting>
  <conditionalFormatting sqref="L46:M46">
    <cfRule type="cellIs" dxfId="341" priority="18" stopIfTrue="1" operator="equal">
      <formula>-1</formula>
    </cfRule>
  </conditionalFormatting>
  <conditionalFormatting sqref="L53:M53">
    <cfRule type="cellIs" dxfId="340" priority="15" stopIfTrue="1" operator="equal">
      <formula>-1</formula>
    </cfRule>
  </conditionalFormatting>
  <conditionalFormatting sqref="L60:M60">
    <cfRule type="cellIs" dxfId="339" priority="12" stopIfTrue="1" operator="equal">
      <formula>-1</formula>
    </cfRule>
  </conditionalFormatting>
  <conditionalFormatting sqref="L11:O16">
    <cfRule type="cellIs" dxfId="338" priority="63" stopIfTrue="1" operator="equal">
      <formula>-1</formula>
    </cfRule>
    <cfRule type="cellIs" dxfId="337" priority="32" stopIfTrue="1" operator="equal">
      <formula>-1</formula>
    </cfRule>
  </conditionalFormatting>
  <conditionalFormatting sqref="L18:O23">
    <cfRule type="cellIs" dxfId="336" priority="10" stopIfTrue="1" operator="equal">
      <formula>-1</formula>
    </cfRule>
    <cfRule type="cellIs" dxfId="335" priority="41" stopIfTrue="1" operator="equal">
      <formula>-1</formula>
    </cfRule>
  </conditionalFormatting>
  <conditionalFormatting sqref="L25:O30">
    <cfRule type="cellIs" dxfId="334" priority="9" stopIfTrue="1" operator="equal">
      <formula>-1</formula>
    </cfRule>
    <cfRule type="cellIs" dxfId="333" priority="40" stopIfTrue="1" operator="equal">
      <formula>-1</formula>
    </cfRule>
  </conditionalFormatting>
  <conditionalFormatting sqref="L32:O37">
    <cfRule type="cellIs" dxfId="332" priority="8" stopIfTrue="1" operator="equal">
      <formula>-1</formula>
    </cfRule>
    <cfRule type="cellIs" dxfId="331" priority="39" stopIfTrue="1" operator="equal">
      <formula>-1</formula>
    </cfRule>
  </conditionalFormatting>
  <conditionalFormatting sqref="L39:O44">
    <cfRule type="cellIs" dxfId="330" priority="7" stopIfTrue="1" operator="equal">
      <formula>-1</formula>
    </cfRule>
    <cfRule type="cellIs" dxfId="329" priority="38" stopIfTrue="1" operator="equal">
      <formula>-1</formula>
    </cfRule>
  </conditionalFormatting>
  <conditionalFormatting sqref="L46:O51">
    <cfRule type="cellIs" dxfId="328" priority="6" stopIfTrue="1" operator="equal">
      <formula>-1</formula>
    </cfRule>
    <cfRule type="cellIs" dxfId="327" priority="37" stopIfTrue="1" operator="equal">
      <formula>-1</formula>
    </cfRule>
  </conditionalFormatting>
  <conditionalFormatting sqref="L53:O58">
    <cfRule type="cellIs" dxfId="326" priority="5" stopIfTrue="1" operator="equal">
      <formula>-1</formula>
    </cfRule>
    <cfRule type="cellIs" dxfId="325" priority="36" stopIfTrue="1" operator="equal">
      <formula>-1</formula>
    </cfRule>
  </conditionalFormatting>
  <conditionalFormatting sqref="L60:O65">
    <cfRule type="cellIs" dxfId="324" priority="4" stopIfTrue="1" operator="equal">
      <formula>-1</formula>
    </cfRule>
    <cfRule type="cellIs" dxfId="323" priority="35" stopIfTrue="1" operator="equal">
      <formula>-1</formula>
    </cfRule>
  </conditionalFormatting>
  <conditionalFormatting sqref="L76:O107">
    <cfRule type="cellIs" dxfId="322" priority="3" stopIfTrue="1" operator="lessThan">
      <formula>0</formula>
    </cfRule>
  </conditionalFormatting>
  <conditionalFormatting sqref="N11:N65">
    <cfRule type="cellIs" dxfId="321" priority="33" stopIfTrue="1" operator="equal">
      <formula>-1</formula>
    </cfRule>
    <cfRule type="cellIs" dxfId="32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319" priority="70" stopIfTrue="1" operator="lessThan">
      <formula>0</formula>
    </cfRule>
  </conditionalFormatting>
  <conditionalFormatting sqref="N11:O65">
    <cfRule type="cellIs" dxfId="318" priority="34" stopIfTrue="1" operator="lessThan">
      <formula>0</formula>
    </cfRule>
    <cfRule type="cellIs" dxfId="317" priority="65" stopIfTrue="1" operator="lessThan">
      <formula>0</formula>
    </cfRule>
  </conditionalFormatting>
  <conditionalFormatting sqref="O11:O16 N11:N65 O18:O23 O25:O30 O32:O37 O39:O44 O46:O51 O53:O58 O60:O65">
    <cfRule type="cellIs" dxfId="316" priority="69" stopIfTrue="1" operator="equal">
      <formula>-1</formula>
    </cfRule>
  </conditionalFormatting>
  <conditionalFormatting sqref="S113:S116">
    <cfRule type="cellIs" dxfId="31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C99F-7B9B-4331-84A0-FC1023E8F377}">
  <dimension ref="A1:AD135"/>
  <sheetViews>
    <sheetView workbookViewId="0">
      <pane ySplit="9" topLeftCell="A10" activePane="bottomLeft" state="frozen"/>
      <selection activeCell="H7" sqref="H7"/>
      <selection pane="bottomLeft" activeCell="Q40" sqref="Q40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145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1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1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1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2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3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1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1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1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2</v>
      </c>
      <c r="H34" s="66">
        <v>2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0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1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2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3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2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2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1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1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0</v>
      </c>
      <c r="H62" s="66">
        <v>2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0</v>
      </c>
      <c r="H63" s="66">
        <v>0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3</v>
      </c>
      <c r="S63" s="68">
        <f t="shared" si="23"/>
        <v>4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1</v>
      </c>
      <c r="R65" s="68">
        <f t="shared" si="22"/>
        <v>0</v>
      </c>
      <c r="S65" s="68">
        <f t="shared" si="23"/>
        <v>1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12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/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 t="s">
        <v>98</v>
      </c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 t="s">
        <v>98</v>
      </c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19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12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12</v>
      </c>
      <c r="R135" s="125"/>
      <c r="S135" s="125"/>
    </row>
  </sheetData>
  <sheetProtection algorithmName="SHA-512" hashValue="trRTT8VmH8IwtWPyCHn20iInBW1ot79yyapFUZUPHmp2S6dgUjrjBDbk/FD7kY3SAQbi9sIe0wTbZYnTZnWtEg==" saltValue="kF7uj77TWnNkl4uNfrcfmQ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314" priority="67" stopIfTrue="1" operator="lessThan">
      <formula>0</formula>
    </cfRule>
  </conditionalFormatting>
  <conditionalFormatting sqref="C99:D101">
    <cfRule type="cellIs" dxfId="313" priority="66" stopIfTrue="1" operator="lessThan">
      <formula>0</formula>
    </cfRule>
  </conditionalFormatting>
  <conditionalFormatting sqref="D11:F16">
    <cfRule type="cellIs" dxfId="312" priority="1" stopIfTrue="1" operator="lessThan">
      <formula>0</formula>
    </cfRule>
  </conditionalFormatting>
  <conditionalFormatting sqref="G11:H16 G18:H23 G25:H30 G32:H37 G39:H44 G46:H51 G53:H58 G60:H65">
    <cfRule type="cellIs" dxfId="311" priority="68" stopIfTrue="1" operator="equal">
      <formula>-1</formula>
    </cfRule>
  </conditionalFormatting>
  <conditionalFormatting sqref="L18:M18">
    <cfRule type="cellIs" dxfId="310" priority="30" stopIfTrue="1" operator="equal">
      <formula>-1</formula>
    </cfRule>
  </conditionalFormatting>
  <conditionalFormatting sqref="L25:M25">
    <cfRule type="cellIs" dxfId="309" priority="27" stopIfTrue="1" operator="equal">
      <formula>-1</formula>
    </cfRule>
  </conditionalFormatting>
  <conditionalFormatting sqref="L32:M32">
    <cfRule type="cellIs" dxfId="308" priority="24" stopIfTrue="1" operator="equal">
      <formula>-1</formula>
    </cfRule>
  </conditionalFormatting>
  <conditionalFormatting sqref="L39:M39">
    <cfRule type="cellIs" dxfId="307" priority="21" stopIfTrue="1" operator="equal">
      <formula>-1</formula>
    </cfRule>
  </conditionalFormatting>
  <conditionalFormatting sqref="L46:M46">
    <cfRule type="cellIs" dxfId="306" priority="18" stopIfTrue="1" operator="equal">
      <formula>-1</formula>
    </cfRule>
  </conditionalFormatting>
  <conditionalFormatting sqref="L53:M53">
    <cfRule type="cellIs" dxfId="305" priority="15" stopIfTrue="1" operator="equal">
      <formula>-1</formula>
    </cfRule>
  </conditionalFormatting>
  <conditionalFormatting sqref="L60:M60">
    <cfRule type="cellIs" dxfId="304" priority="12" stopIfTrue="1" operator="equal">
      <formula>-1</formula>
    </cfRule>
  </conditionalFormatting>
  <conditionalFormatting sqref="L11:O16">
    <cfRule type="cellIs" dxfId="303" priority="63" stopIfTrue="1" operator="equal">
      <formula>-1</formula>
    </cfRule>
    <cfRule type="cellIs" dxfId="302" priority="32" stopIfTrue="1" operator="equal">
      <formula>-1</formula>
    </cfRule>
  </conditionalFormatting>
  <conditionalFormatting sqref="L18:O23">
    <cfRule type="cellIs" dxfId="301" priority="10" stopIfTrue="1" operator="equal">
      <formula>-1</formula>
    </cfRule>
    <cfRule type="cellIs" dxfId="300" priority="41" stopIfTrue="1" operator="equal">
      <formula>-1</formula>
    </cfRule>
  </conditionalFormatting>
  <conditionalFormatting sqref="L25:O30">
    <cfRule type="cellIs" dxfId="299" priority="9" stopIfTrue="1" operator="equal">
      <formula>-1</formula>
    </cfRule>
    <cfRule type="cellIs" dxfId="298" priority="40" stopIfTrue="1" operator="equal">
      <formula>-1</formula>
    </cfRule>
  </conditionalFormatting>
  <conditionalFormatting sqref="L32:O37">
    <cfRule type="cellIs" dxfId="297" priority="8" stopIfTrue="1" operator="equal">
      <formula>-1</formula>
    </cfRule>
    <cfRule type="cellIs" dxfId="296" priority="39" stopIfTrue="1" operator="equal">
      <formula>-1</formula>
    </cfRule>
  </conditionalFormatting>
  <conditionalFormatting sqref="L39:O44">
    <cfRule type="cellIs" dxfId="295" priority="7" stopIfTrue="1" operator="equal">
      <formula>-1</formula>
    </cfRule>
    <cfRule type="cellIs" dxfId="294" priority="38" stopIfTrue="1" operator="equal">
      <formula>-1</formula>
    </cfRule>
  </conditionalFormatting>
  <conditionalFormatting sqref="L46:O51">
    <cfRule type="cellIs" dxfId="293" priority="6" stopIfTrue="1" operator="equal">
      <formula>-1</formula>
    </cfRule>
    <cfRule type="cellIs" dxfId="292" priority="37" stopIfTrue="1" operator="equal">
      <formula>-1</formula>
    </cfRule>
  </conditionalFormatting>
  <conditionalFormatting sqref="L53:O58">
    <cfRule type="cellIs" dxfId="291" priority="5" stopIfTrue="1" operator="equal">
      <formula>-1</formula>
    </cfRule>
    <cfRule type="cellIs" dxfId="290" priority="36" stopIfTrue="1" operator="equal">
      <formula>-1</formula>
    </cfRule>
  </conditionalFormatting>
  <conditionalFormatting sqref="L60:O65">
    <cfRule type="cellIs" dxfId="289" priority="4" stopIfTrue="1" operator="equal">
      <formula>-1</formula>
    </cfRule>
    <cfRule type="cellIs" dxfId="288" priority="35" stopIfTrue="1" operator="equal">
      <formula>-1</formula>
    </cfRule>
  </conditionalFormatting>
  <conditionalFormatting sqref="L76:O107">
    <cfRule type="cellIs" dxfId="287" priority="3" stopIfTrue="1" operator="lessThan">
      <formula>0</formula>
    </cfRule>
  </conditionalFormatting>
  <conditionalFormatting sqref="N11:N65">
    <cfRule type="cellIs" dxfId="286" priority="33" stopIfTrue="1" operator="equal">
      <formula>-1</formula>
    </cfRule>
    <cfRule type="cellIs" dxfId="28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284" priority="70" stopIfTrue="1" operator="lessThan">
      <formula>0</formula>
    </cfRule>
  </conditionalFormatting>
  <conditionalFormatting sqref="N11:O65">
    <cfRule type="cellIs" dxfId="283" priority="34" stopIfTrue="1" operator="lessThan">
      <formula>0</formula>
    </cfRule>
    <cfRule type="cellIs" dxfId="282" priority="65" stopIfTrue="1" operator="lessThan">
      <formula>0</formula>
    </cfRule>
  </conditionalFormatting>
  <conditionalFormatting sqref="O11:O16 N11:N65 O18:O23 O25:O30 O32:O37 O39:O44 O46:O51 O53:O58 O60:O65">
    <cfRule type="cellIs" dxfId="281" priority="69" stopIfTrue="1" operator="equal">
      <formula>-1</formula>
    </cfRule>
  </conditionalFormatting>
  <conditionalFormatting sqref="S113:S116">
    <cfRule type="cellIs" dxfId="28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1D58-E2C5-4B69-A7AB-4F04C241FF27}">
  <dimension ref="A1:AD135"/>
  <sheetViews>
    <sheetView workbookViewId="0">
      <pane ySplit="9" topLeftCell="A10" activePane="bottomLeft" state="frozen"/>
      <selection activeCell="H7" sqref="H7"/>
      <selection pane="bottomLeft" activeCell="R27" sqref="R2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147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3</v>
      </c>
      <c r="S11" s="68">
        <f t="shared" ref="S11:S16" si="2">Q11+R11</f>
        <v>4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3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4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0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3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5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3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4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2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3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0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3</v>
      </c>
      <c r="S42" s="68">
        <f t="shared" si="14"/>
        <v>4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1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1</v>
      </c>
      <c r="H44" s="66">
        <v>2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1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1</v>
      </c>
      <c r="R46" s="68">
        <f t="shared" ref="R46:R51" si="16">IF(AND(G46=L46,H46=N46,L46&gt;-1,G46&gt;-1),3,0)</f>
        <v>0</v>
      </c>
      <c r="S46" s="68">
        <f t="shared" ref="S46:S51" si="17">Q46+R46</f>
        <v>1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4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0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5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0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3</v>
      </c>
      <c r="S55" s="68">
        <f t="shared" si="20"/>
        <v>4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4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16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148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 t="s">
        <v>148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148</v>
      </c>
      <c r="D80" s="88" t="s">
        <v>148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148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148</v>
      </c>
      <c r="D84" s="91" t="s">
        <v>148</v>
      </c>
      <c r="E84" s="88" t="s">
        <v>148</v>
      </c>
      <c r="F84" s="88" t="s">
        <v>148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148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148</v>
      </c>
      <c r="D88" s="88" t="s">
        <v>148</v>
      </c>
      <c r="E88" s="88" t="s">
        <v>148</v>
      </c>
      <c r="F88" s="88" t="s">
        <v>148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148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148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148</v>
      </c>
      <c r="D94" s="88" t="s">
        <v>148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148</v>
      </c>
      <c r="D96" s="88" t="s">
        <v>148</v>
      </c>
      <c r="E96" s="88" t="s">
        <v>148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148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148</v>
      </c>
      <c r="D100" s="88" t="s">
        <v>148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148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148</v>
      </c>
      <c r="D104" s="88" t="s">
        <v>148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148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140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149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16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16</v>
      </c>
      <c r="R135" s="125"/>
      <c r="S135" s="125"/>
    </row>
  </sheetData>
  <sheetProtection algorithmName="SHA-512" hashValue="tiCVS9ZSqWrT9S9C/1noP62TO8DVQnthr+dcX8GZAxNzkX5w2mUEHDJdEvU/i4C6vGzSK+wdckHsR+CWOICsQw==" saltValue="ISKEjjZ4clyPm108KJB7x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279" priority="67" stopIfTrue="1" operator="lessThan">
      <formula>0</formula>
    </cfRule>
  </conditionalFormatting>
  <conditionalFormatting sqref="C99:D101">
    <cfRule type="cellIs" dxfId="278" priority="66" stopIfTrue="1" operator="lessThan">
      <formula>0</formula>
    </cfRule>
  </conditionalFormatting>
  <conditionalFormatting sqref="D11:F16">
    <cfRule type="cellIs" dxfId="277" priority="1" stopIfTrue="1" operator="lessThan">
      <formula>0</formula>
    </cfRule>
  </conditionalFormatting>
  <conditionalFormatting sqref="G11:H16 G18:H23 G25:H30 G32:H37 G39:H44 G46:H51 G53:H58 G60:H65">
    <cfRule type="cellIs" dxfId="276" priority="68" stopIfTrue="1" operator="equal">
      <formula>-1</formula>
    </cfRule>
  </conditionalFormatting>
  <conditionalFormatting sqref="L18:M18">
    <cfRule type="cellIs" dxfId="275" priority="30" stopIfTrue="1" operator="equal">
      <formula>-1</formula>
    </cfRule>
  </conditionalFormatting>
  <conditionalFormatting sqref="L25:M25">
    <cfRule type="cellIs" dxfId="274" priority="27" stopIfTrue="1" operator="equal">
      <formula>-1</formula>
    </cfRule>
  </conditionalFormatting>
  <conditionalFormatting sqref="L32:M32">
    <cfRule type="cellIs" dxfId="273" priority="24" stopIfTrue="1" operator="equal">
      <formula>-1</formula>
    </cfRule>
  </conditionalFormatting>
  <conditionalFormatting sqref="L39:M39">
    <cfRule type="cellIs" dxfId="272" priority="21" stopIfTrue="1" operator="equal">
      <formula>-1</formula>
    </cfRule>
  </conditionalFormatting>
  <conditionalFormatting sqref="L46:M46">
    <cfRule type="cellIs" dxfId="271" priority="18" stopIfTrue="1" operator="equal">
      <formula>-1</formula>
    </cfRule>
  </conditionalFormatting>
  <conditionalFormatting sqref="L53:M53">
    <cfRule type="cellIs" dxfId="270" priority="15" stopIfTrue="1" operator="equal">
      <formula>-1</formula>
    </cfRule>
  </conditionalFormatting>
  <conditionalFormatting sqref="L60:M60">
    <cfRule type="cellIs" dxfId="269" priority="12" stopIfTrue="1" operator="equal">
      <formula>-1</formula>
    </cfRule>
  </conditionalFormatting>
  <conditionalFormatting sqref="L11:O16">
    <cfRule type="cellIs" dxfId="268" priority="63" stopIfTrue="1" operator="equal">
      <formula>-1</formula>
    </cfRule>
    <cfRule type="cellIs" dxfId="267" priority="32" stopIfTrue="1" operator="equal">
      <formula>-1</formula>
    </cfRule>
  </conditionalFormatting>
  <conditionalFormatting sqref="L18:O23">
    <cfRule type="cellIs" dxfId="266" priority="10" stopIfTrue="1" operator="equal">
      <formula>-1</formula>
    </cfRule>
    <cfRule type="cellIs" dxfId="265" priority="41" stopIfTrue="1" operator="equal">
      <formula>-1</formula>
    </cfRule>
  </conditionalFormatting>
  <conditionalFormatting sqref="L25:O30">
    <cfRule type="cellIs" dxfId="264" priority="9" stopIfTrue="1" operator="equal">
      <formula>-1</formula>
    </cfRule>
    <cfRule type="cellIs" dxfId="263" priority="40" stopIfTrue="1" operator="equal">
      <formula>-1</formula>
    </cfRule>
  </conditionalFormatting>
  <conditionalFormatting sqref="L32:O37">
    <cfRule type="cellIs" dxfId="262" priority="8" stopIfTrue="1" operator="equal">
      <formula>-1</formula>
    </cfRule>
    <cfRule type="cellIs" dxfId="261" priority="39" stopIfTrue="1" operator="equal">
      <formula>-1</formula>
    </cfRule>
  </conditionalFormatting>
  <conditionalFormatting sqref="L39:O44">
    <cfRule type="cellIs" dxfId="260" priority="7" stopIfTrue="1" operator="equal">
      <formula>-1</formula>
    </cfRule>
    <cfRule type="cellIs" dxfId="259" priority="38" stopIfTrue="1" operator="equal">
      <formula>-1</formula>
    </cfRule>
  </conditionalFormatting>
  <conditionalFormatting sqref="L46:O51">
    <cfRule type="cellIs" dxfId="258" priority="6" stopIfTrue="1" operator="equal">
      <formula>-1</formula>
    </cfRule>
    <cfRule type="cellIs" dxfId="257" priority="37" stopIfTrue="1" operator="equal">
      <formula>-1</formula>
    </cfRule>
  </conditionalFormatting>
  <conditionalFormatting sqref="L53:O58">
    <cfRule type="cellIs" dxfId="256" priority="5" stopIfTrue="1" operator="equal">
      <formula>-1</formula>
    </cfRule>
    <cfRule type="cellIs" dxfId="255" priority="36" stopIfTrue="1" operator="equal">
      <formula>-1</formula>
    </cfRule>
  </conditionalFormatting>
  <conditionalFormatting sqref="L60:O65">
    <cfRule type="cellIs" dxfId="254" priority="4" stopIfTrue="1" operator="equal">
      <formula>-1</formula>
    </cfRule>
    <cfRule type="cellIs" dxfId="253" priority="35" stopIfTrue="1" operator="equal">
      <formula>-1</formula>
    </cfRule>
  </conditionalFormatting>
  <conditionalFormatting sqref="L76:O107">
    <cfRule type="cellIs" dxfId="252" priority="3" stopIfTrue="1" operator="lessThan">
      <formula>0</formula>
    </cfRule>
  </conditionalFormatting>
  <conditionalFormatting sqref="N11:N65">
    <cfRule type="cellIs" dxfId="251" priority="33" stopIfTrue="1" operator="equal">
      <formula>-1</formula>
    </cfRule>
    <cfRule type="cellIs" dxfId="25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249" priority="70" stopIfTrue="1" operator="lessThan">
      <formula>0</formula>
    </cfRule>
  </conditionalFormatting>
  <conditionalFormatting sqref="N11:O65">
    <cfRule type="cellIs" dxfId="248" priority="34" stopIfTrue="1" operator="lessThan">
      <formula>0</formula>
    </cfRule>
    <cfRule type="cellIs" dxfId="247" priority="65" stopIfTrue="1" operator="lessThan">
      <formula>0</formula>
    </cfRule>
  </conditionalFormatting>
  <conditionalFormatting sqref="O11:O16 N11:N65 O18:O23 O25:O30 O32:O37 O39:O44 O46:O51 O53:O58 O60:O65">
    <cfRule type="cellIs" dxfId="246" priority="69" stopIfTrue="1" operator="equal">
      <formula>-1</formula>
    </cfRule>
  </conditionalFormatting>
  <conditionalFormatting sqref="S113:S116">
    <cfRule type="cellIs" dxfId="24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6C2B-8882-4652-A77C-23E62DB42852}">
  <dimension ref="A1:AD135"/>
  <sheetViews>
    <sheetView workbookViewId="0">
      <pane ySplit="9" topLeftCell="A10" activePane="bottomLeft" state="frozen"/>
      <selection activeCell="H7" sqref="H7"/>
      <selection pane="bottomLeft" activeCell="S33" sqref="S33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151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0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1</v>
      </c>
      <c r="R13" s="68">
        <f t="shared" si="1"/>
        <v>0</v>
      </c>
      <c r="S13" s="68">
        <f t="shared" si="2"/>
        <v>1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1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0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3</v>
      </c>
      <c r="H21" s="66">
        <v>2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3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1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0</v>
      </c>
      <c r="H46" s="66">
        <v>1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4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1</v>
      </c>
      <c r="R49" s="68">
        <f t="shared" si="16"/>
        <v>0</v>
      </c>
      <c r="S49" s="68">
        <f t="shared" si="17"/>
        <v>1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0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2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1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9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148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/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 t="s">
        <v>98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 t="s">
        <v>98</v>
      </c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125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118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150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131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159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142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9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9</v>
      </c>
      <c r="R135" s="125"/>
      <c r="S135" s="125"/>
    </row>
  </sheetData>
  <sheetProtection algorithmName="SHA-512" hashValue="vsFdEz0BqpvSjvL8tRrP1yWakSDUYouSV2PooS4oW77KiESJeFxmCZ22SrFapSd4/mtGpXn7cHFTsa7qo67zZg==" saltValue="mhYle5tTKX7Y7QWfu0vAiA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244" priority="67" stopIfTrue="1" operator="lessThan">
      <formula>0</formula>
    </cfRule>
  </conditionalFormatting>
  <conditionalFormatting sqref="C99:D101">
    <cfRule type="cellIs" dxfId="243" priority="66" stopIfTrue="1" operator="lessThan">
      <formula>0</formula>
    </cfRule>
  </conditionalFormatting>
  <conditionalFormatting sqref="D11:F16">
    <cfRule type="cellIs" dxfId="242" priority="1" stopIfTrue="1" operator="lessThan">
      <formula>0</formula>
    </cfRule>
  </conditionalFormatting>
  <conditionalFormatting sqref="G11:H16 G18:H23 G25:H30 G32:H37 G39:H44 G46:H51 G53:H58 G60:H65">
    <cfRule type="cellIs" dxfId="241" priority="68" stopIfTrue="1" operator="equal">
      <formula>-1</formula>
    </cfRule>
  </conditionalFormatting>
  <conditionalFormatting sqref="L18:M18">
    <cfRule type="cellIs" dxfId="240" priority="30" stopIfTrue="1" operator="equal">
      <formula>-1</formula>
    </cfRule>
  </conditionalFormatting>
  <conditionalFormatting sqref="L25:M25">
    <cfRule type="cellIs" dxfId="239" priority="27" stopIfTrue="1" operator="equal">
      <formula>-1</formula>
    </cfRule>
  </conditionalFormatting>
  <conditionalFormatting sqref="L32:M32">
    <cfRule type="cellIs" dxfId="238" priority="24" stopIfTrue="1" operator="equal">
      <formula>-1</formula>
    </cfRule>
  </conditionalFormatting>
  <conditionalFormatting sqref="L39:M39">
    <cfRule type="cellIs" dxfId="237" priority="21" stopIfTrue="1" operator="equal">
      <formula>-1</formula>
    </cfRule>
  </conditionalFormatting>
  <conditionalFormatting sqref="L46:M46">
    <cfRule type="cellIs" dxfId="236" priority="18" stopIfTrue="1" operator="equal">
      <formula>-1</formula>
    </cfRule>
  </conditionalFormatting>
  <conditionalFormatting sqref="L53:M53">
    <cfRule type="cellIs" dxfId="235" priority="15" stopIfTrue="1" operator="equal">
      <formula>-1</formula>
    </cfRule>
  </conditionalFormatting>
  <conditionalFormatting sqref="L60:M60">
    <cfRule type="cellIs" dxfId="234" priority="12" stopIfTrue="1" operator="equal">
      <formula>-1</formula>
    </cfRule>
  </conditionalFormatting>
  <conditionalFormatting sqref="L11:O16">
    <cfRule type="cellIs" dxfId="233" priority="63" stopIfTrue="1" operator="equal">
      <formula>-1</formula>
    </cfRule>
    <cfRule type="cellIs" dxfId="232" priority="32" stopIfTrue="1" operator="equal">
      <formula>-1</formula>
    </cfRule>
  </conditionalFormatting>
  <conditionalFormatting sqref="L18:O23">
    <cfRule type="cellIs" dxfId="231" priority="10" stopIfTrue="1" operator="equal">
      <formula>-1</formula>
    </cfRule>
    <cfRule type="cellIs" dxfId="230" priority="41" stopIfTrue="1" operator="equal">
      <formula>-1</formula>
    </cfRule>
  </conditionalFormatting>
  <conditionalFormatting sqref="L25:O30">
    <cfRule type="cellIs" dxfId="229" priority="9" stopIfTrue="1" operator="equal">
      <formula>-1</formula>
    </cfRule>
    <cfRule type="cellIs" dxfId="228" priority="40" stopIfTrue="1" operator="equal">
      <formula>-1</formula>
    </cfRule>
  </conditionalFormatting>
  <conditionalFormatting sqref="L32:O37">
    <cfRule type="cellIs" dxfId="227" priority="8" stopIfTrue="1" operator="equal">
      <formula>-1</formula>
    </cfRule>
    <cfRule type="cellIs" dxfId="226" priority="39" stopIfTrue="1" operator="equal">
      <formula>-1</formula>
    </cfRule>
  </conditionalFormatting>
  <conditionalFormatting sqref="L39:O44">
    <cfRule type="cellIs" dxfId="225" priority="7" stopIfTrue="1" operator="equal">
      <formula>-1</formula>
    </cfRule>
    <cfRule type="cellIs" dxfId="224" priority="38" stopIfTrue="1" operator="equal">
      <formula>-1</formula>
    </cfRule>
  </conditionalFormatting>
  <conditionalFormatting sqref="L46:O51">
    <cfRule type="cellIs" dxfId="223" priority="6" stopIfTrue="1" operator="equal">
      <formula>-1</formula>
    </cfRule>
    <cfRule type="cellIs" dxfId="222" priority="37" stopIfTrue="1" operator="equal">
      <formula>-1</formula>
    </cfRule>
  </conditionalFormatting>
  <conditionalFormatting sqref="L53:O58">
    <cfRule type="cellIs" dxfId="221" priority="5" stopIfTrue="1" operator="equal">
      <formula>-1</formula>
    </cfRule>
    <cfRule type="cellIs" dxfId="220" priority="36" stopIfTrue="1" operator="equal">
      <formula>-1</formula>
    </cfRule>
  </conditionalFormatting>
  <conditionalFormatting sqref="L60:O65">
    <cfRule type="cellIs" dxfId="219" priority="4" stopIfTrue="1" operator="equal">
      <formula>-1</formula>
    </cfRule>
    <cfRule type="cellIs" dxfId="218" priority="35" stopIfTrue="1" operator="equal">
      <formula>-1</formula>
    </cfRule>
  </conditionalFormatting>
  <conditionalFormatting sqref="L76:O107">
    <cfRule type="cellIs" dxfId="217" priority="3" stopIfTrue="1" operator="lessThan">
      <formula>0</formula>
    </cfRule>
  </conditionalFormatting>
  <conditionalFormatting sqref="N11:N65">
    <cfRule type="cellIs" dxfId="216" priority="33" stopIfTrue="1" operator="equal">
      <formula>-1</formula>
    </cfRule>
    <cfRule type="cellIs" dxfId="21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214" priority="70" stopIfTrue="1" operator="lessThan">
      <formula>0</formula>
    </cfRule>
  </conditionalFormatting>
  <conditionalFormatting sqref="N11:O65">
    <cfRule type="cellIs" dxfId="213" priority="34" stopIfTrue="1" operator="lessThan">
      <formula>0</formula>
    </cfRule>
    <cfRule type="cellIs" dxfId="212" priority="65" stopIfTrue="1" operator="lessThan">
      <formula>0</formula>
    </cfRule>
  </conditionalFormatting>
  <conditionalFormatting sqref="O11:O16 N11:N65 O18:O23 O25:O30 O32:O37 O39:O44 O46:O51 O53:O58 O60:O65">
    <cfRule type="cellIs" dxfId="211" priority="69" stopIfTrue="1" operator="equal">
      <formula>-1</formula>
    </cfRule>
  </conditionalFormatting>
  <conditionalFormatting sqref="S113:S116">
    <cfRule type="cellIs" dxfId="21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33DA-3E1F-40D7-8965-96B76460A441}">
  <dimension ref="A1:AD135"/>
  <sheetViews>
    <sheetView workbookViewId="0">
      <pane ySplit="9" topLeftCell="A10" activePane="bottomLeft" state="frozen"/>
      <selection activeCell="H7" sqref="H7"/>
      <selection pane="bottomLeft" activeCell="S35" sqref="S35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166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1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0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0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1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1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0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1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1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1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0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1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0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1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1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0</v>
      </c>
      <c r="H46" s="66">
        <v>1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1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0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2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1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1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0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1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5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 t="s">
        <v>98</v>
      </c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/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/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 t="s">
        <v>98</v>
      </c>
      <c r="F96" s="88" t="s">
        <v>98</v>
      </c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 t="s">
        <v>98</v>
      </c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 t="s">
        <v>98</v>
      </c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20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140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7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5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5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5</v>
      </c>
      <c r="R135" s="125"/>
      <c r="S135" s="125"/>
    </row>
  </sheetData>
  <sheetProtection algorithmName="SHA-512" hashValue="SYefKgzO9iVX2Mg5F6S4OlLKp/x2VPWSa7TNKrWXvWvZw9i/AYSGAUHXSdfafOF7Kwb2QQ9Kk8ZIXGdEMeJtcg==" saltValue="VfXh2lJ7jvSJz9xkY4E4Zg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209" priority="67" stopIfTrue="1" operator="lessThan">
      <formula>0</formula>
    </cfRule>
  </conditionalFormatting>
  <conditionalFormatting sqref="C99:D101">
    <cfRule type="cellIs" dxfId="208" priority="66" stopIfTrue="1" operator="lessThan">
      <formula>0</formula>
    </cfRule>
  </conditionalFormatting>
  <conditionalFormatting sqref="D11:F16">
    <cfRule type="cellIs" dxfId="207" priority="1" stopIfTrue="1" operator="lessThan">
      <formula>0</formula>
    </cfRule>
  </conditionalFormatting>
  <conditionalFormatting sqref="G11:H16 G18:H23 G25:H30 G32:H37 G39:H44 G46:H51 G53:H58 G60:H65">
    <cfRule type="cellIs" dxfId="206" priority="68" stopIfTrue="1" operator="equal">
      <formula>-1</formula>
    </cfRule>
  </conditionalFormatting>
  <conditionalFormatting sqref="L18:M18">
    <cfRule type="cellIs" dxfId="205" priority="30" stopIfTrue="1" operator="equal">
      <formula>-1</formula>
    </cfRule>
  </conditionalFormatting>
  <conditionalFormatting sqref="L25:M25">
    <cfRule type="cellIs" dxfId="204" priority="27" stopIfTrue="1" operator="equal">
      <formula>-1</formula>
    </cfRule>
  </conditionalFormatting>
  <conditionalFormatting sqref="L32:M32">
    <cfRule type="cellIs" dxfId="203" priority="24" stopIfTrue="1" operator="equal">
      <formula>-1</formula>
    </cfRule>
  </conditionalFormatting>
  <conditionalFormatting sqref="L39:M39">
    <cfRule type="cellIs" dxfId="202" priority="21" stopIfTrue="1" operator="equal">
      <formula>-1</formula>
    </cfRule>
  </conditionalFormatting>
  <conditionalFormatting sqref="L46:M46">
    <cfRule type="cellIs" dxfId="201" priority="18" stopIfTrue="1" operator="equal">
      <formula>-1</formula>
    </cfRule>
  </conditionalFormatting>
  <conditionalFormatting sqref="L53:M53">
    <cfRule type="cellIs" dxfId="200" priority="15" stopIfTrue="1" operator="equal">
      <formula>-1</formula>
    </cfRule>
  </conditionalFormatting>
  <conditionalFormatting sqref="L60:M60">
    <cfRule type="cellIs" dxfId="199" priority="12" stopIfTrue="1" operator="equal">
      <formula>-1</formula>
    </cfRule>
  </conditionalFormatting>
  <conditionalFormatting sqref="L11:O16">
    <cfRule type="cellIs" dxfId="198" priority="63" stopIfTrue="1" operator="equal">
      <formula>-1</formula>
    </cfRule>
    <cfRule type="cellIs" dxfId="197" priority="32" stopIfTrue="1" operator="equal">
      <formula>-1</formula>
    </cfRule>
  </conditionalFormatting>
  <conditionalFormatting sqref="L18:O23">
    <cfRule type="cellIs" dxfId="196" priority="10" stopIfTrue="1" operator="equal">
      <formula>-1</formula>
    </cfRule>
    <cfRule type="cellIs" dxfId="195" priority="41" stopIfTrue="1" operator="equal">
      <formula>-1</formula>
    </cfRule>
  </conditionalFormatting>
  <conditionalFormatting sqref="L25:O30">
    <cfRule type="cellIs" dxfId="194" priority="9" stopIfTrue="1" operator="equal">
      <formula>-1</formula>
    </cfRule>
    <cfRule type="cellIs" dxfId="193" priority="40" stopIfTrue="1" operator="equal">
      <formula>-1</formula>
    </cfRule>
  </conditionalFormatting>
  <conditionalFormatting sqref="L32:O37">
    <cfRule type="cellIs" dxfId="192" priority="8" stopIfTrue="1" operator="equal">
      <formula>-1</formula>
    </cfRule>
    <cfRule type="cellIs" dxfId="191" priority="39" stopIfTrue="1" operator="equal">
      <formula>-1</formula>
    </cfRule>
  </conditionalFormatting>
  <conditionalFormatting sqref="L39:O44">
    <cfRule type="cellIs" dxfId="190" priority="7" stopIfTrue="1" operator="equal">
      <formula>-1</formula>
    </cfRule>
    <cfRule type="cellIs" dxfId="189" priority="38" stopIfTrue="1" operator="equal">
      <formula>-1</formula>
    </cfRule>
  </conditionalFormatting>
  <conditionalFormatting sqref="L46:O51">
    <cfRule type="cellIs" dxfId="188" priority="6" stopIfTrue="1" operator="equal">
      <formula>-1</formula>
    </cfRule>
    <cfRule type="cellIs" dxfId="187" priority="37" stopIfTrue="1" operator="equal">
      <formula>-1</formula>
    </cfRule>
  </conditionalFormatting>
  <conditionalFormatting sqref="L53:O58">
    <cfRule type="cellIs" dxfId="186" priority="5" stopIfTrue="1" operator="equal">
      <formula>-1</formula>
    </cfRule>
    <cfRule type="cellIs" dxfId="185" priority="36" stopIfTrue="1" operator="equal">
      <formula>-1</formula>
    </cfRule>
  </conditionalFormatting>
  <conditionalFormatting sqref="L60:O65">
    <cfRule type="cellIs" dxfId="184" priority="4" stopIfTrue="1" operator="equal">
      <formula>-1</formula>
    </cfRule>
    <cfRule type="cellIs" dxfId="183" priority="35" stopIfTrue="1" operator="equal">
      <formula>-1</formula>
    </cfRule>
  </conditionalFormatting>
  <conditionalFormatting sqref="L76:O107">
    <cfRule type="cellIs" dxfId="182" priority="3" stopIfTrue="1" operator="lessThan">
      <formula>0</formula>
    </cfRule>
  </conditionalFormatting>
  <conditionalFormatting sqref="N11:N65">
    <cfRule type="cellIs" dxfId="181" priority="33" stopIfTrue="1" operator="equal">
      <formula>-1</formula>
    </cfRule>
    <cfRule type="cellIs" dxfId="18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179" priority="70" stopIfTrue="1" operator="lessThan">
      <formula>0</formula>
    </cfRule>
  </conditionalFormatting>
  <conditionalFormatting sqref="N11:O65">
    <cfRule type="cellIs" dxfId="178" priority="34" stopIfTrue="1" operator="lessThan">
      <formula>0</formula>
    </cfRule>
    <cfRule type="cellIs" dxfId="177" priority="65" stopIfTrue="1" operator="lessThan">
      <formula>0</formula>
    </cfRule>
  </conditionalFormatting>
  <conditionalFormatting sqref="O11:O16 N11:N65 O18:O23 O25:O30 O32:O37 O39:O44 O46:O51 O53:O58 O60:O65">
    <cfRule type="cellIs" dxfId="176" priority="69" stopIfTrue="1" operator="equal">
      <formula>-1</formula>
    </cfRule>
  </conditionalFormatting>
  <conditionalFormatting sqref="S113:S116">
    <cfRule type="cellIs" dxfId="17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96CE-8438-4440-8563-C9EBCB86AB59}">
  <dimension ref="A1:AD135"/>
  <sheetViews>
    <sheetView workbookViewId="0">
      <pane ySplit="9" topLeftCell="A10" activePane="bottomLeft" state="frozen"/>
      <selection activeCell="H7" sqref="H7"/>
      <selection pane="bottomLeft" activeCell="S34" sqref="S34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154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2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1</v>
      </c>
      <c r="R13" s="68">
        <f t="shared" si="1"/>
        <v>0</v>
      </c>
      <c r="S13" s="68">
        <f t="shared" si="2"/>
        <v>1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2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1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1</v>
      </c>
      <c r="R23" s="68">
        <f t="shared" si="4"/>
        <v>0</v>
      </c>
      <c r="S23" s="68">
        <f t="shared" si="5"/>
        <v>1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4</v>
      </c>
      <c r="H25" s="66">
        <v>1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3</v>
      </c>
      <c r="H27" s="66">
        <v>1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1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2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2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2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10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98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148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148</v>
      </c>
      <c r="E80" s="88" t="s">
        <v>148</v>
      </c>
      <c r="F80" s="88" t="s">
        <v>148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 t="s">
        <v>98</v>
      </c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148</v>
      </c>
      <c r="E84" s="88" t="s">
        <v>148</v>
      </c>
      <c r="F84" s="88" t="s">
        <v>148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148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148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/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 t="s">
        <v>148</v>
      </c>
      <c r="E99" s="88" t="s">
        <v>148</v>
      </c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148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148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9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74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153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10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10</v>
      </c>
      <c r="R135" s="125"/>
      <c r="S135" s="125"/>
    </row>
  </sheetData>
  <sheetProtection algorithmName="SHA-512" hashValue="0uCjHezvPphWx8XH77pKezd32QSayNTFUBiutYPI7T0xvycx0dQIGn9sW7/H3y67XEKU85A6bqMscY6Qz/RCXg==" saltValue="LfxJ6lvbB9vhBvsXmrj7iQ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174" priority="67" stopIfTrue="1" operator="lessThan">
      <formula>0</formula>
    </cfRule>
  </conditionalFormatting>
  <conditionalFormatting sqref="C99:D101">
    <cfRule type="cellIs" dxfId="173" priority="66" stopIfTrue="1" operator="lessThan">
      <formula>0</formula>
    </cfRule>
  </conditionalFormatting>
  <conditionalFormatting sqref="D11:F16">
    <cfRule type="cellIs" dxfId="172" priority="1" stopIfTrue="1" operator="lessThan">
      <formula>0</formula>
    </cfRule>
  </conditionalFormatting>
  <conditionalFormatting sqref="G11:H16 G18:H23 G25:H30 G32:H37 G39:H44 G46:H51 G53:H58 G60:H65">
    <cfRule type="cellIs" dxfId="171" priority="68" stopIfTrue="1" operator="equal">
      <formula>-1</formula>
    </cfRule>
  </conditionalFormatting>
  <conditionalFormatting sqref="L18:M18">
    <cfRule type="cellIs" dxfId="170" priority="30" stopIfTrue="1" operator="equal">
      <formula>-1</formula>
    </cfRule>
  </conditionalFormatting>
  <conditionalFormatting sqref="L25:M25">
    <cfRule type="cellIs" dxfId="169" priority="27" stopIfTrue="1" operator="equal">
      <formula>-1</formula>
    </cfRule>
  </conditionalFormatting>
  <conditionalFormatting sqref="L32:M32">
    <cfRule type="cellIs" dxfId="168" priority="24" stopIfTrue="1" operator="equal">
      <formula>-1</formula>
    </cfRule>
  </conditionalFormatting>
  <conditionalFormatting sqref="L39:M39">
    <cfRule type="cellIs" dxfId="167" priority="21" stopIfTrue="1" operator="equal">
      <formula>-1</formula>
    </cfRule>
  </conditionalFormatting>
  <conditionalFormatting sqref="L46:M46">
    <cfRule type="cellIs" dxfId="166" priority="18" stopIfTrue="1" operator="equal">
      <formula>-1</formula>
    </cfRule>
  </conditionalFormatting>
  <conditionalFormatting sqref="L53:M53">
    <cfRule type="cellIs" dxfId="165" priority="15" stopIfTrue="1" operator="equal">
      <formula>-1</formula>
    </cfRule>
  </conditionalFormatting>
  <conditionalFormatting sqref="L60:M60">
    <cfRule type="cellIs" dxfId="164" priority="12" stopIfTrue="1" operator="equal">
      <formula>-1</formula>
    </cfRule>
  </conditionalFormatting>
  <conditionalFormatting sqref="L11:O16">
    <cfRule type="cellIs" dxfId="163" priority="63" stopIfTrue="1" operator="equal">
      <formula>-1</formula>
    </cfRule>
    <cfRule type="cellIs" dxfId="162" priority="32" stopIfTrue="1" operator="equal">
      <formula>-1</formula>
    </cfRule>
  </conditionalFormatting>
  <conditionalFormatting sqref="L18:O23">
    <cfRule type="cellIs" dxfId="161" priority="10" stopIfTrue="1" operator="equal">
      <formula>-1</formula>
    </cfRule>
    <cfRule type="cellIs" dxfId="160" priority="41" stopIfTrue="1" operator="equal">
      <formula>-1</formula>
    </cfRule>
  </conditionalFormatting>
  <conditionalFormatting sqref="L25:O30">
    <cfRule type="cellIs" dxfId="159" priority="9" stopIfTrue="1" operator="equal">
      <formula>-1</formula>
    </cfRule>
    <cfRule type="cellIs" dxfId="158" priority="40" stopIfTrue="1" operator="equal">
      <formula>-1</formula>
    </cfRule>
  </conditionalFormatting>
  <conditionalFormatting sqref="L32:O37">
    <cfRule type="cellIs" dxfId="157" priority="8" stopIfTrue="1" operator="equal">
      <formula>-1</formula>
    </cfRule>
    <cfRule type="cellIs" dxfId="156" priority="39" stopIfTrue="1" operator="equal">
      <formula>-1</formula>
    </cfRule>
  </conditionalFormatting>
  <conditionalFormatting sqref="L39:O44">
    <cfRule type="cellIs" dxfId="155" priority="7" stopIfTrue="1" operator="equal">
      <formula>-1</formula>
    </cfRule>
    <cfRule type="cellIs" dxfId="154" priority="38" stopIfTrue="1" operator="equal">
      <formula>-1</formula>
    </cfRule>
  </conditionalFormatting>
  <conditionalFormatting sqref="L46:O51">
    <cfRule type="cellIs" dxfId="153" priority="6" stopIfTrue="1" operator="equal">
      <formula>-1</formula>
    </cfRule>
    <cfRule type="cellIs" dxfId="152" priority="37" stopIfTrue="1" operator="equal">
      <formula>-1</formula>
    </cfRule>
  </conditionalFormatting>
  <conditionalFormatting sqref="L53:O58">
    <cfRule type="cellIs" dxfId="151" priority="5" stopIfTrue="1" operator="equal">
      <formula>-1</formula>
    </cfRule>
    <cfRule type="cellIs" dxfId="150" priority="36" stopIfTrue="1" operator="equal">
      <formula>-1</formula>
    </cfRule>
  </conditionalFormatting>
  <conditionalFormatting sqref="L60:O65">
    <cfRule type="cellIs" dxfId="149" priority="4" stopIfTrue="1" operator="equal">
      <formula>-1</formula>
    </cfRule>
    <cfRule type="cellIs" dxfId="148" priority="35" stopIfTrue="1" operator="equal">
      <formula>-1</formula>
    </cfRule>
  </conditionalFormatting>
  <conditionalFormatting sqref="L76:O107">
    <cfRule type="cellIs" dxfId="147" priority="3" stopIfTrue="1" operator="lessThan">
      <formula>0</formula>
    </cfRule>
  </conditionalFormatting>
  <conditionalFormatting sqref="N11:N65">
    <cfRule type="cellIs" dxfId="146" priority="33" stopIfTrue="1" operator="equal">
      <formula>-1</formula>
    </cfRule>
    <cfRule type="cellIs" dxfId="14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144" priority="70" stopIfTrue="1" operator="lessThan">
      <formula>0</formula>
    </cfRule>
  </conditionalFormatting>
  <conditionalFormatting sqref="N11:O65">
    <cfRule type="cellIs" dxfId="143" priority="34" stopIfTrue="1" operator="lessThan">
      <formula>0</formula>
    </cfRule>
    <cfRule type="cellIs" dxfId="142" priority="65" stopIfTrue="1" operator="lessThan">
      <formula>0</formula>
    </cfRule>
  </conditionalFormatting>
  <conditionalFormatting sqref="O11:O16 N11:N65 O18:O23 O25:O30 O32:O37 O39:O44 O46:O51 O53:O58 O60:O65">
    <cfRule type="cellIs" dxfId="141" priority="69" stopIfTrue="1" operator="equal">
      <formula>-1</formula>
    </cfRule>
  </conditionalFormatting>
  <conditionalFormatting sqref="S113:S116">
    <cfRule type="cellIs" dxfId="14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3410-5B66-4118-84D4-56EB0BC459F1}">
  <dimension ref="A1:AD135"/>
  <sheetViews>
    <sheetView zoomScaleNormal="100" workbookViewId="0">
      <pane ySplit="9" topLeftCell="A10" activePane="bottomLeft" state="frozen"/>
      <selection activeCell="H7" sqref="H7"/>
      <selection pane="bottomLeft" activeCell="N31" sqref="N31:O31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155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3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3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2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3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2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2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1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4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2</v>
      </c>
      <c r="H30" s="66">
        <v>3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3</v>
      </c>
      <c r="H32" s="66">
        <v>2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2</v>
      </c>
      <c r="H34" s="66">
        <v>0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1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4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3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2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3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2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1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2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2</v>
      </c>
      <c r="H55" s="66">
        <v>0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1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0</v>
      </c>
      <c r="H62" s="66">
        <v>2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8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 t="s">
        <v>98</v>
      </c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 t="s">
        <v>98</v>
      </c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 t="s">
        <v>98</v>
      </c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11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121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156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8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8</v>
      </c>
      <c r="R135" s="125"/>
      <c r="S135" s="125"/>
    </row>
  </sheetData>
  <sheetProtection algorithmName="SHA-512" hashValue="iiJ9c6TDu+eIWIxnSxqpU2FQcVZEme02n7OEebR4FaV06+OLQXueUv4CXx0+0ieHV5zsDxSMX4nhYr0UCV8izQ==" saltValue="wf2RCxFDuejPnOHbsg8YZg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139" priority="67" stopIfTrue="1" operator="lessThan">
      <formula>0</formula>
    </cfRule>
  </conditionalFormatting>
  <conditionalFormatting sqref="C99:D101">
    <cfRule type="cellIs" dxfId="138" priority="66" stopIfTrue="1" operator="lessThan">
      <formula>0</formula>
    </cfRule>
  </conditionalFormatting>
  <conditionalFormatting sqref="D11:F16">
    <cfRule type="cellIs" dxfId="137" priority="1" stopIfTrue="1" operator="lessThan">
      <formula>0</formula>
    </cfRule>
  </conditionalFormatting>
  <conditionalFormatting sqref="G11:H16 G18:H23 G25:H30 G32:H37 G39:H44 G46:H51 G53:H58 G60:H65">
    <cfRule type="cellIs" dxfId="136" priority="68" stopIfTrue="1" operator="equal">
      <formula>-1</formula>
    </cfRule>
  </conditionalFormatting>
  <conditionalFormatting sqref="L18:M18">
    <cfRule type="cellIs" dxfId="135" priority="30" stopIfTrue="1" operator="equal">
      <formula>-1</formula>
    </cfRule>
  </conditionalFormatting>
  <conditionalFormatting sqref="L25:M25">
    <cfRule type="cellIs" dxfId="134" priority="27" stopIfTrue="1" operator="equal">
      <formula>-1</formula>
    </cfRule>
  </conditionalFormatting>
  <conditionalFormatting sqref="L32:M32">
    <cfRule type="cellIs" dxfId="133" priority="24" stopIfTrue="1" operator="equal">
      <formula>-1</formula>
    </cfRule>
  </conditionalFormatting>
  <conditionalFormatting sqref="L39:M39">
    <cfRule type="cellIs" dxfId="132" priority="21" stopIfTrue="1" operator="equal">
      <formula>-1</formula>
    </cfRule>
  </conditionalFormatting>
  <conditionalFormatting sqref="L46:M46">
    <cfRule type="cellIs" dxfId="131" priority="18" stopIfTrue="1" operator="equal">
      <formula>-1</formula>
    </cfRule>
  </conditionalFormatting>
  <conditionalFormatting sqref="L53:M53">
    <cfRule type="cellIs" dxfId="130" priority="15" stopIfTrue="1" operator="equal">
      <formula>-1</formula>
    </cfRule>
  </conditionalFormatting>
  <conditionalFormatting sqref="L60:M60">
    <cfRule type="cellIs" dxfId="129" priority="12" stopIfTrue="1" operator="equal">
      <formula>-1</formula>
    </cfRule>
  </conditionalFormatting>
  <conditionalFormatting sqref="L11:O16">
    <cfRule type="cellIs" dxfId="128" priority="63" stopIfTrue="1" operator="equal">
      <formula>-1</formula>
    </cfRule>
    <cfRule type="cellIs" dxfId="127" priority="32" stopIfTrue="1" operator="equal">
      <formula>-1</formula>
    </cfRule>
  </conditionalFormatting>
  <conditionalFormatting sqref="L18:O23">
    <cfRule type="cellIs" dxfId="126" priority="10" stopIfTrue="1" operator="equal">
      <formula>-1</formula>
    </cfRule>
    <cfRule type="cellIs" dxfId="125" priority="41" stopIfTrue="1" operator="equal">
      <formula>-1</formula>
    </cfRule>
  </conditionalFormatting>
  <conditionalFormatting sqref="L25:O30">
    <cfRule type="cellIs" dxfId="124" priority="9" stopIfTrue="1" operator="equal">
      <formula>-1</formula>
    </cfRule>
    <cfRule type="cellIs" dxfId="123" priority="40" stopIfTrue="1" operator="equal">
      <formula>-1</formula>
    </cfRule>
  </conditionalFormatting>
  <conditionalFormatting sqref="L32:O37">
    <cfRule type="cellIs" dxfId="122" priority="8" stopIfTrue="1" operator="equal">
      <formula>-1</formula>
    </cfRule>
    <cfRule type="cellIs" dxfId="121" priority="39" stopIfTrue="1" operator="equal">
      <formula>-1</formula>
    </cfRule>
  </conditionalFormatting>
  <conditionalFormatting sqref="L39:O44">
    <cfRule type="cellIs" dxfId="120" priority="7" stopIfTrue="1" operator="equal">
      <formula>-1</formula>
    </cfRule>
    <cfRule type="cellIs" dxfId="119" priority="38" stopIfTrue="1" operator="equal">
      <formula>-1</formula>
    </cfRule>
  </conditionalFormatting>
  <conditionalFormatting sqref="L46:O51">
    <cfRule type="cellIs" dxfId="118" priority="6" stopIfTrue="1" operator="equal">
      <formula>-1</formula>
    </cfRule>
    <cfRule type="cellIs" dxfId="117" priority="37" stopIfTrue="1" operator="equal">
      <formula>-1</formula>
    </cfRule>
  </conditionalFormatting>
  <conditionalFormatting sqref="L53:O58">
    <cfRule type="cellIs" dxfId="116" priority="5" stopIfTrue="1" operator="equal">
      <formula>-1</formula>
    </cfRule>
    <cfRule type="cellIs" dxfId="115" priority="36" stopIfTrue="1" operator="equal">
      <formula>-1</formula>
    </cfRule>
  </conditionalFormatting>
  <conditionalFormatting sqref="L60:O65">
    <cfRule type="cellIs" dxfId="114" priority="4" stopIfTrue="1" operator="equal">
      <formula>-1</formula>
    </cfRule>
    <cfRule type="cellIs" dxfId="113" priority="35" stopIfTrue="1" operator="equal">
      <formula>-1</formula>
    </cfRule>
  </conditionalFormatting>
  <conditionalFormatting sqref="L76:O107">
    <cfRule type="cellIs" dxfId="112" priority="3" stopIfTrue="1" operator="lessThan">
      <formula>0</formula>
    </cfRule>
  </conditionalFormatting>
  <conditionalFormatting sqref="N11:N65">
    <cfRule type="cellIs" dxfId="111" priority="33" stopIfTrue="1" operator="equal">
      <formula>-1</formula>
    </cfRule>
    <cfRule type="cellIs" dxfId="11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109" priority="70" stopIfTrue="1" operator="lessThan">
      <formula>0</formula>
    </cfRule>
  </conditionalFormatting>
  <conditionalFormatting sqref="N11:O65">
    <cfRule type="cellIs" dxfId="108" priority="34" stopIfTrue="1" operator="lessThan">
      <formula>0</formula>
    </cfRule>
    <cfRule type="cellIs" dxfId="107" priority="65" stopIfTrue="1" operator="lessThan">
      <formula>0</formula>
    </cfRule>
  </conditionalFormatting>
  <conditionalFormatting sqref="O11:O16 N11:N65 O18:O23 O25:O30 O32:O37 O39:O44 O46:O51 O53:O58 O60:O65">
    <cfRule type="cellIs" dxfId="106" priority="69" stopIfTrue="1" operator="equal">
      <formula>-1</formula>
    </cfRule>
  </conditionalFormatting>
  <conditionalFormatting sqref="S113:S116">
    <cfRule type="cellIs" dxfId="10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39FA-05CA-4767-AF92-C1C7D4360C5B}">
  <dimension ref="A1:AD135"/>
  <sheetViews>
    <sheetView workbookViewId="0">
      <pane ySplit="9" topLeftCell="A10" activePane="bottomLeft" state="frozen"/>
      <selection activeCell="H7" sqref="H7"/>
      <selection pane="bottomLeft" activeCell="H27" sqref="H2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157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3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4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2</v>
      </c>
      <c r="H19" s="66">
        <v>2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1</v>
      </c>
      <c r="R20" s="68">
        <f t="shared" si="4"/>
        <v>0</v>
      </c>
      <c r="S20" s="68">
        <f t="shared" si="5"/>
        <v>1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1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4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3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1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1</v>
      </c>
      <c r="R29" s="68">
        <f t="shared" si="7"/>
        <v>0</v>
      </c>
      <c r="S29" s="68">
        <f t="shared" si="8"/>
        <v>1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2</v>
      </c>
      <c r="H30" s="66">
        <v>3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4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2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3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1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3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0</v>
      </c>
      <c r="H41" s="66">
        <v>0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3</v>
      </c>
      <c r="S41" s="68">
        <f t="shared" si="14"/>
        <v>4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2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2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0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4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0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4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12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22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158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146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141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12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12</v>
      </c>
      <c r="R135" s="125"/>
      <c r="S135" s="125"/>
    </row>
  </sheetData>
  <sheetProtection algorithmName="SHA-512" hashValue="bfPkqYuKz1/BefphNLzAfLv7jifyKXkxv+R5OAsyv05lghcifauscbpfVSFWX0jgdTtKtGcN0QAMCkTNgDLdbw==" saltValue="h5QCuunwZZN2jSrYKTvzX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104" priority="67" stopIfTrue="1" operator="lessThan">
      <formula>0</formula>
    </cfRule>
  </conditionalFormatting>
  <conditionalFormatting sqref="C99:D101">
    <cfRule type="cellIs" dxfId="103" priority="66" stopIfTrue="1" operator="lessThan">
      <formula>0</formula>
    </cfRule>
  </conditionalFormatting>
  <conditionalFormatting sqref="D11:F16">
    <cfRule type="cellIs" dxfId="102" priority="1" stopIfTrue="1" operator="lessThan">
      <formula>0</formula>
    </cfRule>
  </conditionalFormatting>
  <conditionalFormatting sqref="G11:H16 G18:H23 G25:H30 G32:H37 G39:H44 G46:H51 G53:H58 G60:H65">
    <cfRule type="cellIs" dxfId="101" priority="68" stopIfTrue="1" operator="equal">
      <formula>-1</formula>
    </cfRule>
  </conditionalFormatting>
  <conditionalFormatting sqref="L18:M18">
    <cfRule type="cellIs" dxfId="100" priority="30" stopIfTrue="1" operator="equal">
      <formula>-1</formula>
    </cfRule>
  </conditionalFormatting>
  <conditionalFormatting sqref="L25:M25">
    <cfRule type="cellIs" dxfId="99" priority="27" stopIfTrue="1" operator="equal">
      <formula>-1</formula>
    </cfRule>
  </conditionalFormatting>
  <conditionalFormatting sqref="L32:M32">
    <cfRule type="cellIs" dxfId="98" priority="24" stopIfTrue="1" operator="equal">
      <formula>-1</formula>
    </cfRule>
  </conditionalFormatting>
  <conditionalFormatting sqref="L39:M39">
    <cfRule type="cellIs" dxfId="97" priority="21" stopIfTrue="1" operator="equal">
      <formula>-1</formula>
    </cfRule>
  </conditionalFormatting>
  <conditionalFormatting sqref="L46:M46">
    <cfRule type="cellIs" dxfId="96" priority="18" stopIfTrue="1" operator="equal">
      <formula>-1</formula>
    </cfRule>
  </conditionalFormatting>
  <conditionalFormatting sqref="L53:M53">
    <cfRule type="cellIs" dxfId="95" priority="15" stopIfTrue="1" operator="equal">
      <formula>-1</formula>
    </cfRule>
  </conditionalFormatting>
  <conditionalFormatting sqref="L60:M60">
    <cfRule type="cellIs" dxfId="94" priority="12" stopIfTrue="1" operator="equal">
      <formula>-1</formula>
    </cfRule>
  </conditionalFormatting>
  <conditionalFormatting sqref="L11:O16">
    <cfRule type="cellIs" dxfId="93" priority="63" stopIfTrue="1" operator="equal">
      <formula>-1</formula>
    </cfRule>
    <cfRule type="cellIs" dxfId="92" priority="32" stopIfTrue="1" operator="equal">
      <formula>-1</formula>
    </cfRule>
  </conditionalFormatting>
  <conditionalFormatting sqref="L18:O23">
    <cfRule type="cellIs" dxfId="91" priority="10" stopIfTrue="1" operator="equal">
      <formula>-1</formula>
    </cfRule>
    <cfRule type="cellIs" dxfId="90" priority="41" stopIfTrue="1" operator="equal">
      <formula>-1</formula>
    </cfRule>
  </conditionalFormatting>
  <conditionalFormatting sqref="L25:O30">
    <cfRule type="cellIs" dxfId="89" priority="9" stopIfTrue="1" operator="equal">
      <formula>-1</formula>
    </cfRule>
    <cfRule type="cellIs" dxfId="88" priority="40" stopIfTrue="1" operator="equal">
      <formula>-1</formula>
    </cfRule>
  </conditionalFormatting>
  <conditionalFormatting sqref="L32:O37">
    <cfRule type="cellIs" dxfId="87" priority="8" stopIfTrue="1" operator="equal">
      <formula>-1</formula>
    </cfRule>
    <cfRule type="cellIs" dxfId="86" priority="39" stopIfTrue="1" operator="equal">
      <formula>-1</formula>
    </cfRule>
  </conditionalFormatting>
  <conditionalFormatting sqref="L39:O44">
    <cfRule type="cellIs" dxfId="85" priority="7" stopIfTrue="1" operator="equal">
      <formula>-1</formula>
    </cfRule>
    <cfRule type="cellIs" dxfId="84" priority="38" stopIfTrue="1" operator="equal">
      <formula>-1</formula>
    </cfRule>
  </conditionalFormatting>
  <conditionalFormatting sqref="L46:O51">
    <cfRule type="cellIs" dxfId="83" priority="6" stopIfTrue="1" operator="equal">
      <formula>-1</formula>
    </cfRule>
    <cfRule type="cellIs" dxfId="82" priority="37" stopIfTrue="1" operator="equal">
      <formula>-1</formula>
    </cfRule>
  </conditionalFormatting>
  <conditionalFormatting sqref="L53:O58">
    <cfRule type="cellIs" dxfId="81" priority="5" stopIfTrue="1" operator="equal">
      <formula>-1</formula>
    </cfRule>
    <cfRule type="cellIs" dxfId="80" priority="36" stopIfTrue="1" operator="equal">
      <formula>-1</formula>
    </cfRule>
  </conditionalFormatting>
  <conditionalFormatting sqref="L60:O65">
    <cfRule type="cellIs" dxfId="79" priority="4" stopIfTrue="1" operator="equal">
      <formula>-1</formula>
    </cfRule>
    <cfRule type="cellIs" dxfId="78" priority="35" stopIfTrue="1" operator="equal">
      <formula>-1</formula>
    </cfRule>
  </conditionalFormatting>
  <conditionalFormatting sqref="L76:O107">
    <cfRule type="cellIs" dxfId="77" priority="3" stopIfTrue="1" operator="lessThan">
      <formula>0</formula>
    </cfRule>
  </conditionalFormatting>
  <conditionalFormatting sqref="N11:N65">
    <cfRule type="cellIs" dxfId="76" priority="33" stopIfTrue="1" operator="equal">
      <formula>-1</formula>
    </cfRule>
    <cfRule type="cellIs" dxfId="7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74" priority="70" stopIfTrue="1" operator="lessThan">
      <formula>0</formula>
    </cfRule>
  </conditionalFormatting>
  <conditionalFormatting sqref="N11:O65">
    <cfRule type="cellIs" dxfId="73" priority="34" stopIfTrue="1" operator="lessThan">
      <formula>0</formula>
    </cfRule>
    <cfRule type="cellIs" dxfId="72" priority="65" stopIfTrue="1" operator="lessThan">
      <formula>0</formula>
    </cfRule>
  </conditionalFormatting>
  <conditionalFormatting sqref="O11:O16 N11:N65 O18:O23 O25:O30 O32:O37 O39:O44 O46:O51 O53:O58 O60:O65">
    <cfRule type="cellIs" dxfId="71" priority="69" stopIfTrue="1" operator="equal">
      <formula>-1</formula>
    </cfRule>
  </conditionalFormatting>
  <conditionalFormatting sqref="S113:S116">
    <cfRule type="cellIs" dxfId="7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A585-DBDF-4286-B2EA-68CFC2A0D644}">
  <dimension ref="A1:AD135"/>
  <sheetViews>
    <sheetView workbookViewId="0">
      <pane ySplit="9" topLeftCell="A10" activePane="bottomLeft" state="frozen"/>
      <selection activeCell="H7" sqref="H7"/>
      <selection pane="bottomLeft" activeCell="G22" sqref="G22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160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0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4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0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0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3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5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3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1</v>
      </c>
      <c r="R30" s="68">
        <f t="shared" si="7"/>
        <v>0</v>
      </c>
      <c r="S30" s="68">
        <f t="shared" si="8"/>
        <v>1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0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3</v>
      </c>
      <c r="S34" s="68">
        <f t="shared" si="11"/>
        <v>4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2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1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2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4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0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2</v>
      </c>
      <c r="H43" s="66">
        <v>2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1</v>
      </c>
      <c r="R43" s="68">
        <f t="shared" si="13"/>
        <v>0</v>
      </c>
      <c r="S43" s="68">
        <f t="shared" si="14"/>
        <v>1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5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2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4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1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6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2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13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98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 t="s">
        <v>98</v>
      </c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 t="s">
        <v>98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/>
      <c r="F84" s="88"/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 t="s">
        <v>98</v>
      </c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/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9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11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163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22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142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146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158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13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13</v>
      </c>
      <c r="R135" s="125"/>
      <c r="S135" s="125"/>
    </row>
  </sheetData>
  <sheetProtection algorithmName="SHA-512" hashValue="BYhtr3BwNYQ2N22/wytkfwY+yQhaJjockwPMiahNMkUMmBOJhYoORxupB1TQ417D1drSOFpT3yLu1oy8aCegOQ==" saltValue="K8d2nIqx36UXhaxEXzrFLg==" spinCount="100000" sheet="1" objects="1" scenarios="1"/>
  <mergeCells count="197">
    <mergeCell ref="O1:O3"/>
    <mergeCell ref="E2:G2"/>
    <mergeCell ref="C5:I5"/>
    <mergeCell ref="L5:O5"/>
    <mergeCell ref="Q5:S5"/>
    <mergeCell ref="L6:O6"/>
    <mergeCell ref="Q6:S6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B123:I123"/>
    <mergeCell ref="B124:I124"/>
    <mergeCell ref="B125:I125"/>
    <mergeCell ref="Q68:S68"/>
    <mergeCell ref="A70:B70"/>
    <mergeCell ref="C70:O70"/>
    <mergeCell ref="L74:O74"/>
    <mergeCell ref="Q109:S109"/>
    <mergeCell ref="Q118:S118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Q127:S127"/>
    <mergeCell ref="B131:O131"/>
    <mergeCell ref="Q131:S131"/>
  </mergeCells>
  <conditionalFormatting sqref="C86">
    <cfRule type="cellIs" dxfId="69" priority="67" stopIfTrue="1" operator="lessThan">
      <formula>0</formula>
    </cfRule>
  </conditionalFormatting>
  <conditionalFormatting sqref="C99:D101">
    <cfRule type="cellIs" dxfId="68" priority="66" stopIfTrue="1" operator="lessThan">
      <formula>0</formula>
    </cfRule>
  </conditionalFormatting>
  <conditionalFormatting sqref="D11:F16">
    <cfRule type="cellIs" dxfId="67" priority="1" stopIfTrue="1" operator="lessThan">
      <formula>0</formula>
    </cfRule>
  </conditionalFormatting>
  <conditionalFormatting sqref="G11:H16 G18:H23 G25:H30 G32:H37 G39:H44 G46:H51 G53:H58 G60:H65">
    <cfRule type="cellIs" dxfId="66" priority="68" stopIfTrue="1" operator="equal">
      <formula>-1</formula>
    </cfRule>
  </conditionalFormatting>
  <conditionalFormatting sqref="L18:M18">
    <cfRule type="cellIs" dxfId="65" priority="30" stopIfTrue="1" operator="equal">
      <formula>-1</formula>
    </cfRule>
  </conditionalFormatting>
  <conditionalFormatting sqref="L25:M25">
    <cfRule type="cellIs" dxfId="64" priority="27" stopIfTrue="1" operator="equal">
      <formula>-1</formula>
    </cfRule>
  </conditionalFormatting>
  <conditionalFormatting sqref="L32:M32">
    <cfRule type="cellIs" dxfId="63" priority="24" stopIfTrue="1" operator="equal">
      <formula>-1</formula>
    </cfRule>
  </conditionalFormatting>
  <conditionalFormatting sqref="L39:M39">
    <cfRule type="cellIs" dxfId="62" priority="21" stopIfTrue="1" operator="equal">
      <formula>-1</formula>
    </cfRule>
  </conditionalFormatting>
  <conditionalFormatting sqref="L46:M46">
    <cfRule type="cellIs" dxfId="61" priority="18" stopIfTrue="1" operator="equal">
      <formula>-1</formula>
    </cfRule>
  </conditionalFormatting>
  <conditionalFormatting sqref="L53:M53">
    <cfRule type="cellIs" dxfId="60" priority="15" stopIfTrue="1" operator="equal">
      <formula>-1</formula>
    </cfRule>
  </conditionalFormatting>
  <conditionalFormatting sqref="L60:M60">
    <cfRule type="cellIs" dxfId="59" priority="12" stopIfTrue="1" operator="equal">
      <formula>-1</formula>
    </cfRule>
  </conditionalFormatting>
  <conditionalFormatting sqref="L11:O16">
    <cfRule type="cellIs" dxfId="58" priority="63" stopIfTrue="1" operator="equal">
      <formula>-1</formula>
    </cfRule>
    <cfRule type="cellIs" dxfId="57" priority="32" stopIfTrue="1" operator="equal">
      <formula>-1</formula>
    </cfRule>
  </conditionalFormatting>
  <conditionalFormatting sqref="L18:O23">
    <cfRule type="cellIs" dxfId="56" priority="10" stopIfTrue="1" operator="equal">
      <formula>-1</formula>
    </cfRule>
    <cfRule type="cellIs" dxfId="55" priority="41" stopIfTrue="1" operator="equal">
      <formula>-1</formula>
    </cfRule>
  </conditionalFormatting>
  <conditionalFormatting sqref="L25:O30">
    <cfRule type="cellIs" dxfId="54" priority="9" stopIfTrue="1" operator="equal">
      <formula>-1</formula>
    </cfRule>
    <cfRule type="cellIs" dxfId="53" priority="40" stopIfTrue="1" operator="equal">
      <formula>-1</formula>
    </cfRule>
  </conditionalFormatting>
  <conditionalFormatting sqref="L32:O37">
    <cfRule type="cellIs" dxfId="52" priority="8" stopIfTrue="1" operator="equal">
      <formula>-1</formula>
    </cfRule>
    <cfRule type="cellIs" dxfId="51" priority="39" stopIfTrue="1" operator="equal">
      <formula>-1</formula>
    </cfRule>
  </conditionalFormatting>
  <conditionalFormatting sqref="L39:O44">
    <cfRule type="cellIs" dxfId="50" priority="7" stopIfTrue="1" operator="equal">
      <formula>-1</formula>
    </cfRule>
    <cfRule type="cellIs" dxfId="49" priority="38" stopIfTrue="1" operator="equal">
      <formula>-1</formula>
    </cfRule>
  </conditionalFormatting>
  <conditionalFormatting sqref="L46:O51">
    <cfRule type="cellIs" dxfId="48" priority="6" stopIfTrue="1" operator="equal">
      <formula>-1</formula>
    </cfRule>
    <cfRule type="cellIs" dxfId="47" priority="37" stopIfTrue="1" operator="equal">
      <formula>-1</formula>
    </cfRule>
  </conditionalFormatting>
  <conditionalFormatting sqref="L53:O58">
    <cfRule type="cellIs" dxfId="46" priority="5" stopIfTrue="1" operator="equal">
      <formula>-1</formula>
    </cfRule>
    <cfRule type="cellIs" dxfId="45" priority="36" stopIfTrue="1" operator="equal">
      <formula>-1</formula>
    </cfRule>
  </conditionalFormatting>
  <conditionalFormatting sqref="L60:O65">
    <cfRule type="cellIs" dxfId="44" priority="4" stopIfTrue="1" operator="equal">
      <formula>-1</formula>
    </cfRule>
    <cfRule type="cellIs" dxfId="43" priority="35" stopIfTrue="1" operator="equal">
      <formula>-1</formula>
    </cfRule>
  </conditionalFormatting>
  <conditionalFormatting sqref="L76:O107">
    <cfRule type="cellIs" dxfId="42" priority="3" stopIfTrue="1" operator="lessThan">
      <formula>0</formula>
    </cfRule>
  </conditionalFormatting>
  <conditionalFormatting sqref="N11:N65">
    <cfRule type="cellIs" dxfId="41" priority="33" stopIfTrue="1" operator="equal">
      <formula>-1</formula>
    </cfRule>
    <cfRule type="cellIs" dxfId="4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39" priority="70" stopIfTrue="1" operator="lessThan">
      <formula>0</formula>
    </cfRule>
  </conditionalFormatting>
  <conditionalFormatting sqref="N11:O65">
    <cfRule type="cellIs" dxfId="38" priority="34" stopIfTrue="1" operator="lessThan">
      <formula>0</formula>
    </cfRule>
    <cfRule type="cellIs" dxfId="37" priority="65" stopIfTrue="1" operator="lessThan">
      <formula>0</formula>
    </cfRule>
  </conditionalFormatting>
  <conditionalFormatting sqref="O11:O16 N11:N65 O18:O23 O25:O30 O32:O37 O39:O44 O46:O51 O53:O58 O60:O65">
    <cfRule type="cellIs" dxfId="36" priority="69" stopIfTrue="1" operator="equal">
      <formula>-1</formula>
    </cfRule>
  </conditionalFormatting>
  <conditionalFormatting sqref="S113:S116">
    <cfRule type="cellIs" dxfId="3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5507-DFD4-4BBB-A66A-59018EB1DE4C}">
  <dimension ref="A1:AD135"/>
  <sheetViews>
    <sheetView zoomScaleNormal="100" workbookViewId="0">
      <pane ySplit="9" topLeftCell="A10" activePane="bottomLeft" state="frozen"/>
      <selection activeCell="H7" sqref="H7"/>
      <selection pane="bottomLeft" activeCell="W33" sqref="W33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162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0</v>
      </c>
      <c r="I11" s="67" t="s">
        <v>76</v>
      </c>
      <c r="J11" s="62"/>
      <c r="K11" s="62"/>
      <c r="L11" s="138">
        <f>[2]OFICIAL!G6</f>
        <v>0</v>
      </c>
      <c r="M11" s="138">
        <f>[2]OFICIAL!G6</f>
        <v>0</v>
      </c>
      <c r="N11" s="138">
        <f>[2]OFICIAL!H6</f>
        <v>0</v>
      </c>
      <c r="O11" s="138" t="str">
        <f>[2]OFICIAL!I6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2</v>
      </c>
      <c r="I12" s="67" t="s">
        <v>83</v>
      </c>
      <c r="J12" s="62"/>
      <c r="K12" s="62"/>
      <c r="L12" s="138">
        <f>[2]OFICIAL!G7</f>
        <v>0</v>
      </c>
      <c r="M12" s="138">
        <f>[2]OFICIAL!G7</f>
        <v>0</v>
      </c>
      <c r="N12" s="138">
        <f>[2]OFICIAL!H7</f>
        <v>0</v>
      </c>
      <c r="O12" s="138" t="str">
        <f>[2]OFICIAL!I7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[2]OFICIAL!G8</f>
        <v>0</v>
      </c>
      <c r="M13" s="138">
        <f>[2]OFICIAL!G8</f>
        <v>0</v>
      </c>
      <c r="N13" s="138">
        <f>[2]OFICIAL!H8</f>
        <v>0</v>
      </c>
      <c r="O13" s="138" t="str">
        <f>[2]OFICIAL!I8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[2]OFICIAL!G9</f>
        <v>0</v>
      </c>
      <c r="M14" s="138">
        <f>[2]OFICIAL!G9</f>
        <v>0</v>
      </c>
      <c r="N14" s="138">
        <f>[2]OFICIAL!H9</f>
        <v>0</v>
      </c>
      <c r="O14" s="138" t="str">
        <f>[2]OFICIAL!I9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0</v>
      </c>
      <c r="I15" s="67" t="s">
        <v>81</v>
      </c>
      <c r="J15" s="62"/>
      <c r="K15" s="62"/>
      <c r="L15" s="138">
        <f>[2]OFICIAL!G10</f>
        <v>0</v>
      </c>
      <c r="M15" s="138">
        <f>[2]OFICIAL!G10</f>
        <v>0</v>
      </c>
      <c r="N15" s="138">
        <f>[2]OFICIAL!H10</f>
        <v>0</v>
      </c>
      <c r="O15" s="138" t="str">
        <f>[2]OFICIAL!I10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[2]OFICIAL!G11</f>
        <v>0</v>
      </c>
      <c r="M16" s="138">
        <f>[2]OFICIAL!G11</f>
        <v>0</v>
      </c>
      <c r="N16" s="138">
        <f>[2]OFICIAL!H11</f>
        <v>0</v>
      </c>
      <c r="O16" s="138" t="str">
        <f>[2]OFICIAL!I11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[2]OFICIAL!G13</f>
        <v>0</v>
      </c>
      <c r="M18" s="138">
        <f>[2]OFICIAL!G13</f>
        <v>0</v>
      </c>
      <c r="N18" s="138">
        <f>[2]OFICIAL!H13</f>
        <v>0</v>
      </c>
      <c r="O18" s="138" t="str">
        <f>[2]OFICIAL!I13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[2]OFICIAL!G14</f>
        <v>0</v>
      </c>
      <c r="M19" s="138">
        <f>[2]OFICIAL!G14</f>
        <v>0</v>
      </c>
      <c r="N19" s="138">
        <f>[2]OFICIAL!H14</f>
        <v>0</v>
      </c>
      <c r="O19" s="138" t="str">
        <f>[2]OFICIAL!I14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[2]OFICIAL!G15</f>
        <v>0</v>
      </c>
      <c r="M20" s="138">
        <f>[2]OFICIAL!G15</f>
        <v>0</v>
      </c>
      <c r="N20" s="138">
        <f>[2]OFICIAL!H15</f>
        <v>0</v>
      </c>
      <c r="O20" s="138" t="str">
        <f>[2]OFICIAL!I15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2</v>
      </c>
      <c r="I21" s="67" t="s">
        <v>24</v>
      </c>
      <c r="J21" s="62"/>
      <c r="K21" s="62"/>
      <c r="L21" s="138">
        <f>[2]OFICIAL!G16</f>
        <v>0</v>
      </c>
      <c r="M21" s="138">
        <f>[2]OFICIAL!G16</f>
        <v>0</v>
      </c>
      <c r="N21" s="138">
        <f>[2]OFICIAL!H16</f>
        <v>0</v>
      </c>
      <c r="O21" s="138" t="str">
        <f>[2]OFICIAL!I16</f>
        <v>USA</v>
      </c>
      <c r="P21" s="62"/>
      <c r="Q21" s="68">
        <f t="shared" si="3"/>
        <v>1</v>
      </c>
      <c r="R21" s="68">
        <f t="shared" si="4"/>
        <v>0</v>
      </c>
      <c r="S21" s="68">
        <f t="shared" si="5"/>
        <v>1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1</v>
      </c>
      <c r="I22" s="67" t="s">
        <v>9</v>
      </c>
      <c r="J22" s="62"/>
      <c r="K22" s="62"/>
      <c r="L22" s="138">
        <f>[2]OFICIAL!G17</f>
        <v>0</v>
      </c>
      <c r="M22" s="138">
        <f>[2]OFICIAL!G17</f>
        <v>0</v>
      </c>
      <c r="N22" s="138">
        <f>[2]OFICIAL!H17</f>
        <v>0</v>
      </c>
      <c r="O22" s="138" t="str">
        <f>[2]OFICIAL!I17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1</v>
      </c>
      <c r="I23" s="67" t="s">
        <v>24</v>
      </c>
      <c r="J23" s="62"/>
      <c r="K23" s="62"/>
      <c r="L23" s="138">
        <f>[2]OFICIAL!G18</f>
        <v>0</v>
      </c>
      <c r="M23" s="138">
        <f>[2]OFICIAL!G18</f>
        <v>0</v>
      </c>
      <c r="N23" s="138">
        <f>[2]OFICIAL!H18</f>
        <v>0</v>
      </c>
      <c r="O23" s="138" t="str">
        <f>[2]OFICIAL!I18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[2]OFICIAL!G20</f>
        <v>0</v>
      </c>
      <c r="M25" s="138">
        <f>[2]OFICIAL!G20</f>
        <v>0</v>
      </c>
      <c r="N25" s="138">
        <f>[2]OFICIAL!H20</f>
        <v>0</v>
      </c>
      <c r="O25" s="138" t="str">
        <f>[2]OFICIAL!I20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1</v>
      </c>
      <c r="I26" s="67" t="s">
        <v>87</v>
      </c>
      <c r="J26" s="62"/>
      <c r="K26" s="62"/>
      <c r="L26" s="138">
        <f>[2]OFICIAL!G21</f>
        <v>0</v>
      </c>
      <c r="M26" s="138">
        <f>[2]OFICIAL!G21</f>
        <v>0</v>
      </c>
      <c r="N26" s="138">
        <f>[2]OFICIAL!H21</f>
        <v>0</v>
      </c>
      <c r="O26" s="138" t="str">
        <f>[2]OFICIAL!I21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[2]OFICIAL!G22</f>
        <v>0</v>
      </c>
      <c r="M27" s="138">
        <f>[2]OFICIAL!G22</f>
        <v>0</v>
      </c>
      <c r="N27" s="138">
        <f>[2]OFICIAL!H22</f>
        <v>0</v>
      </c>
      <c r="O27" s="138" t="str">
        <f>[2]OFICIAL!I22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1</v>
      </c>
      <c r="H28" s="66">
        <v>1</v>
      </c>
      <c r="I28" s="67" t="s">
        <v>3</v>
      </c>
      <c r="J28" s="62"/>
      <c r="K28" s="62"/>
      <c r="L28" s="138">
        <f>[2]OFICIAL!G23</f>
        <v>0</v>
      </c>
      <c r="M28" s="138">
        <f>[2]OFICIAL!G23</f>
        <v>0</v>
      </c>
      <c r="N28" s="138">
        <f>[2]OFICIAL!H23</f>
        <v>0</v>
      </c>
      <c r="O28" s="138" t="str">
        <f>[2]OFICIAL!I23</f>
        <v>México</v>
      </c>
      <c r="P28" s="62"/>
      <c r="Q28" s="68">
        <f t="shared" si="6"/>
        <v>1</v>
      </c>
      <c r="R28" s="68">
        <f t="shared" si="7"/>
        <v>0</v>
      </c>
      <c r="S28" s="68">
        <f t="shared" si="8"/>
        <v>1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[2]OFICIAL!G24</f>
        <v>0</v>
      </c>
      <c r="M29" s="138">
        <f>[2]OFICIAL!G24</f>
        <v>0</v>
      </c>
      <c r="N29" s="138">
        <f>[2]OFICIAL!H24</f>
        <v>0</v>
      </c>
      <c r="O29" s="138" t="str">
        <f>[2]OFICIAL!I24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1</v>
      </c>
      <c r="I30" s="67" t="s">
        <v>7</v>
      </c>
      <c r="J30" s="62"/>
      <c r="K30" s="62"/>
      <c r="L30" s="138">
        <f>[2]OFICIAL!G25</f>
        <v>0</v>
      </c>
      <c r="M30" s="138">
        <f>[2]OFICIAL!G25</f>
        <v>0</v>
      </c>
      <c r="N30" s="138">
        <f>[2]OFICIAL!H25</f>
        <v>0</v>
      </c>
      <c r="O30" s="138" t="str">
        <f>[2]OFICIAL!I25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[2]OFICIAL!G27</f>
        <v>0</v>
      </c>
      <c r="M32" s="138">
        <f>[2]OFICIAL!G27</f>
        <v>0</v>
      </c>
      <c r="N32" s="138">
        <f>[2]OFICIAL!H27</f>
        <v>0</v>
      </c>
      <c r="O32" s="138" t="str">
        <f>[2]OFICIAL!I27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0</v>
      </c>
      <c r="H33" s="66">
        <v>0</v>
      </c>
      <c r="I33" s="67" t="s">
        <v>12</v>
      </c>
      <c r="J33" s="62"/>
      <c r="K33" s="62"/>
      <c r="L33" s="138">
        <f>[2]OFICIAL!G28</f>
        <v>0</v>
      </c>
      <c r="M33" s="138">
        <f>[2]OFICIAL!G28</f>
        <v>0</v>
      </c>
      <c r="N33" s="138">
        <f>[2]OFICIAL!H28</f>
        <v>0</v>
      </c>
      <c r="O33" s="138" t="str">
        <f>[2]OFICIAL!I28</f>
        <v>Australia</v>
      </c>
      <c r="P33" s="62"/>
      <c r="Q33" s="68">
        <f t="shared" si="9"/>
        <v>1</v>
      </c>
      <c r="R33" s="68">
        <f t="shared" si="10"/>
        <v>3</v>
      </c>
      <c r="S33" s="68">
        <f t="shared" si="11"/>
        <v>4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2</v>
      </c>
      <c r="H34" s="66">
        <v>1</v>
      </c>
      <c r="I34" s="67" t="s">
        <v>12</v>
      </c>
      <c r="J34" s="62"/>
      <c r="K34" s="62"/>
      <c r="L34" s="138">
        <f>[2]OFICIAL!G29</f>
        <v>0</v>
      </c>
      <c r="M34" s="138">
        <f>[2]OFICIAL!G29</f>
        <v>0</v>
      </c>
      <c r="N34" s="138">
        <f>[2]OFICIAL!H29</f>
        <v>0</v>
      </c>
      <c r="O34" s="138" t="str">
        <f>[2]OFICIAL!I29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1</v>
      </c>
      <c r="I35" s="67" t="s">
        <v>79</v>
      </c>
      <c r="J35" s="62"/>
      <c r="K35" s="62"/>
      <c r="L35" s="138">
        <f>[2]OFICIAL!G30</f>
        <v>0</v>
      </c>
      <c r="M35" s="138">
        <f>[2]OFICIAL!G30</f>
        <v>0</v>
      </c>
      <c r="N35" s="138">
        <f>[2]OFICIAL!H30</f>
        <v>0</v>
      </c>
      <c r="O35" s="138" t="str">
        <f>[2]OFICIAL!I30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[2]OFICIAL!G31</f>
        <v>0</v>
      </c>
      <c r="M36" s="138">
        <f>[2]OFICIAL!G31</f>
        <v>0</v>
      </c>
      <c r="N36" s="138">
        <f>[2]OFICIAL!H31</f>
        <v>0</v>
      </c>
      <c r="O36" s="138" t="str">
        <f>[2]OFICIAL!I31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[2]OFICIAL!G32</f>
        <v>0</v>
      </c>
      <c r="M37" s="138">
        <f>[2]OFICIAL!G32</f>
        <v>0</v>
      </c>
      <c r="N37" s="138">
        <f>[2]OFICIAL!H32</f>
        <v>0</v>
      </c>
      <c r="O37" s="138" t="str">
        <f>[2]OFICIAL!I32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[2]OFICIAL!G34</f>
        <v>0</v>
      </c>
      <c r="M39" s="138">
        <f>[2]OFICIAL!G34</f>
        <v>0</v>
      </c>
      <c r="N39" s="138">
        <f>[2]OFICIAL!H34</f>
        <v>0</v>
      </c>
      <c r="O39" s="138" t="str">
        <f>[2]OFICIAL!I34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[2]OFICIAL!G35</f>
        <v>0</v>
      </c>
      <c r="M40" s="138">
        <f>[2]OFICIAL!G35</f>
        <v>0</v>
      </c>
      <c r="N40" s="138">
        <f>[2]OFICIAL!H35</f>
        <v>0</v>
      </c>
      <c r="O40" s="138" t="str">
        <f>[2]OFICIAL!I35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0</v>
      </c>
      <c r="I41" s="67" t="s">
        <v>75</v>
      </c>
      <c r="J41" s="62"/>
      <c r="K41" s="62"/>
      <c r="L41" s="138">
        <f>[2]OFICIAL!G36</f>
        <v>0</v>
      </c>
      <c r="M41" s="138">
        <f>[2]OFICIAL!G36</f>
        <v>0</v>
      </c>
      <c r="N41" s="138">
        <f>[2]OFICIAL!H36</f>
        <v>0</v>
      </c>
      <c r="O41" s="138" t="str">
        <f>[2]OFICIAL!I36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2</v>
      </c>
      <c r="I42" s="67" t="s">
        <v>11</v>
      </c>
      <c r="J42" s="62"/>
      <c r="K42" s="62"/>
      <c r="L42" s="138">
        <f>[2]OFICIAL!G37</f>
        <v>0</v>
      </c>
      <c r="M42" s="138">
        <f>[2]OFICIAL!G37</f>
        <v>0</v>
      </c>
      <c r="N42" s="138">
        <f>[2]OFICIAL!H37</f>
        <v>0</v>
      </c>
      <c r="O42" s="138" t="str">
        <f>[2]OFICIAL!I37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1</v>
      </c>
      <c r="I43" s="67" t="s">
        <v>22</v>
      </c>
      <c r="J43" s="62"/>
      <c r="K43" s="62"/>
      <c r="L43" s="138">
        <f>[2]OFICIAL!G38</f>
        <v>0</v>
      </c>
      <c r="M43" s="138">
        <f>[2]OFICIAL!G38</f>
        <v>0</v>
      </c>
      <c r="N43" s="138">
        <f>[2]OFICIAL!H38</f>
        <v>0</v>
      </c>
      <c r="O43" s="138" t="str">
        <f>[2]OFICIAL!I38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1</v>
      </c>
      <c r="I44" s="67" t="s">
        <v>11</v>
      </c>
      <c r="J44" s="62"/>
      <c r="K44" s="62"/>
      <c r="L44" s="138">
        <f>[2]OFICIAL!G39</f>
        <v>0</v>
      </c>
      <c r="M44" s="138">
        <f>[2]OFICIAL!G39</f>
        <v>0</v>
      </c>
      <c r="N44" s="138">
        <f>[2]OFICIAL!H39</f>
        <v>0</v>
      </c>
      <c r="O44" s="138" t="str">
        <f>[2]OFICIAL!I39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1</v>
      </c>
      <c r="I46" s="67" t="s">
        <v>74</v>
      </c>
      <c r="J46" s="62"/>
      <c r="K46" s="62"/>
      <c r="L46" s="138">
        <f>[2]OFICIAL!G41</f>
        <v>0</v>
      </c>
      <c r="M46" s="138">
        <f>[2]OFICIAL!G41</f>
        <v>0</v>
      </c>
      <c r="N46" s="138">
        <f>[2]OFICIAL!H41</f>
        <v>0</v>
      </c>
      <c r="O46" s="138" t="str">
        <f>[2]OFICIAL!I41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1</v>
      </c>
      <c r="R46" s="68">
        <f t="shared" ref="R46:R51" si="16">IF(AND(G46=L46,H46=N46,L46&gt;-1,G46&gt;-1),3,0)</f>
        <v>0</v>
      </c>
      <c r="S46" s="68">
        <f t="shared" ref="S46:S51" si="17">Q46+R46</f>
        <v>1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1</v>
      </c>
      <c r="I47" s="67" t="s">
        <v>89</v>
      </c>
      <c r="J47" s="62"/>
      <c r="K47" s="62"/>
      <c r="L47" s="138">
        <f>[2]OFICIAL!G42</f>
        <v>0</v>
      </c>
      <c r="M47" s="138">
        <f>[2]OFICIAL!G42</f>
        <v>0</v>
      </c>
      <c r="N47" s="138">
        <f>[2]OFICIAL!H42</f>
        <v>0</v>
      </c>
      <c r="O47" s="138" t="str">
        <f>[2]OFICIAL!I42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1</v>
      </c>
      <c r="I48" s="67" t="s">
        <v>90</v>
      </c>
      <c r="J48" s="62"/>
      <c r="K48" s="62"/>
      <c r="L48" s="138">
        <f>[2]OFICIAL!G43</f>
        <v>0</v>
      </c>
      <c r="M48" s="138">
        <f>[2]OFICIAL!G43</f>
        <v>0</v>
      </c>
      <c r="N48" s="138">
        <f>[2]OFICIAL!H43</f>
        <v>0</v>
      </c>
      <c r="O48" s="138" t="str">
        <f>[2]OFICIAL!I43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0</v>
      </c>
      <c r="I49" s="67" t="s">
        <v>89</v>
      </c>
      <c r="J49" s="62"/>
      <c r="K49" s="62"/>
      <c r="L49" s="138">
        <f>[2]OFICIAL!G44</f>
        <v>0</v>
      </c>
      <c r="M49" s="138">
        <f>[2]OFICIAL!G44</f>
        <v>0</v>
      </c>
      <c r="N49" s="138">
        <f>[2]OFICIAL!H44</f>
        <v>0</v>
      </c>
      <c r="O49" s="138" t="str">
        <f>[2]OFICIAL!I44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0</v>
      </c>
      <c r="H50" s="66">
        <v>2</v>
      </c>
      <c r="I50" s="67" t="s">
        <v>77</v>
      </c>
      <c r="J50" s="62"/>
      <c r="K50" s="62"/>
      <c r="L50" s="138">
        <f>[2]OFICIAL!G45</f>
        <v>0</v>
      </c>
      <c r="M50" s="138">
        <f>[2]OFICIAL!G45</f>
        <v>0</v>
      </c>
      <c r="N50" s="138">
        <f>[2]OFICIAL!H45</f>
        <v>0</v>
      </c>
      <c r="O50" s="138" t="str">
        <f>[2]OFICIAL!I45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[2]OFICIAL!G46</f>
        <v>0</v>
      </c>
      <c r="M51" s="138">
        <f>[2]OFICIAL!G46</f>
        <v>0</v>
      </c>
      <c r="N51" s="138">
        <f>[2]OFICIAL!H46</f>
        <v>0</v>
      </c>
      <c r="O51" s="138" t="str">
        <f>[2]OFICIAL!I46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1</v>
      </c>
      <c r="I53" s="67" t="s">
        <v>16</v>
      </c>
      <c r="J53" s="62"/>
      <c r="K53" s="62"/>
      <c r="L53" s="138">
        <f>[2]OFICIAL!G48</f>
        <v>0</v>
      </c>
      <c r="M53" s="138">
        <f>[2]OFICIAL!G48</f>
        <v>0</v>
      </c>
      <c r="N53" s="138">
        <f>[2]OFICIAL!H48</f>
        <v>0</v>
      </c>
      <c r="O53" s="138" t="str">
        <f>[2]OFICIAL!I48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1</v>
      </c>
      <c r="R53" s="68">
        <f t="shared" ref="R53:R58" si="19">IF(AND(G53=L53,H53=N53,L53&gt;-1,G53&gt;-1),3,0)</f>
        <v>0</v>
      </c>
      <c r="S53" s="68">
        <f t="shared" ref="S53:S58" si="20">Q53+R53</f>
        <v>1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2</v>
      </c>
      <c r="H54" s="66">
        <v>0</v>
      </c>
      <c r="I54" s="67" t="s">
        <v>80</v>
      </c>
      <c r="J54" s="62"/>
      <c r="K54" s="62"/>
      <c r="L54" s="138">
        <f>[2]OFICIAL!G49</f>
        <v>0</v>
      </c>
      <c r="M54" s="138">
        <f>[2]OFICIAL!G49</f>
        <v>0</v>
      </c>
      <c r="N54" s="138">
        <f>[2]OFICIAL!H49</f>
        <v>0</v>
      </c>
      <c r="O54" s="138" t="str">
        <f>[2]OFICIAL!I49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2</v>
      </c>
      <c r="I55" s="67" t="s">
        <v>80</v>
      </c>
      <c r="J55" s="62"/>
      <c r="K55" s="62"/>
      <c r="L55" s="138">
        <f>[2]OFICIAL!G50</f>
        <v>0</v>
      </c>
      <c r="M55" s="138">
        <f>[2]OFICIAL!G50</f>
        <v>0</v>
      </c>
      <c r="N55" s="138">
        <f>[2]OFICIAL!H50</f>
        <v>0</v>
      </c>
      <c r="O55" s="138" t="str">
        <f>[2]OFICIAL!I50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[2]OFICIAL!G51</f>
        <v>0</v>
      </c>
      <c r="M56" s="138">
        <f>[2]OFICIAL!G51</f>
        <v>0</v>
      </c>
      <c r="N56" s="138">
        <f>[2]OFICIAL!H51</f>
        <v>0</v>
      </c>
      <c r="O56" s="138" t="str">
        <f>[2]OFICIAL!I51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0</v>
      </c>
      <c r="I57" s="67" t="s">
        <v>23</v>
      </c>
      <c r="J57" s="62"/>
      <c r="K57" s="62"/>
      <c r="L57" s="138">
        <f>[2]OFICIAL!G52</f>
        <v>0</v>
      </c>
      <c r="M57" s="138">
        <f>[2]OFICIAL!G52</f>
        <v>0</v>
      </c>
      <c r="N57" s="138">
        <f>[2]OFICIAL!H52</f>
        <v>0</v>
      </c>
      <c r="O57" s="138" t="str">
        <f>[2]OFICIAL!I52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2</v>
      </c>
      <c r="I58" s="67" t="s">
        <v>20</v>
      </c>
      <c r="J58" s="62"/>
      <c r="K58" s="62"/>
      <c r="L58" s="138">
        <f>[2]OFICIAL!G53</f>
        <v>0</v>
      </c>
      <c r="M58" s="138">
        <f>[2]OFICIAL!G53</f>
        <v>0</v>
      </c>
      <c r="N58" s="138">
        <f>[2]OFICIAL!H53</f>
        <v>0</v>
      </c>
      <c r="O58" s="138" t="str">
        <f>[2]OFICIAL!I53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1</v>
      </c>
      <c r="H60" s="66">
        <v>0</v>
      </c>
      <c r="I60" s="67" t="s">
        <v>91</v>
      </c>
      <c r="J60" s="62"/>
      <c r="K60" s="62"/>
      <c r="L60" s="138">
        <f>[2]OFICIAL!G55</f>
        <v>0</v>
      </c>
      <c r="M60" s="138">
        <f>[2]OFICIAL!G55</f>
        <v>0</v>
      </c>
      <c r="N60" s="138">
        <f>[2]OFICIAL!H55</f>
        <v>0</v>
      </c>
      <c r="O60" s="138" t="str">
        <f>[2]OFICIAL!I55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[2]OFICIAL!G56</f>
        <v>0</v>
      </c>
      <c r="M61" s="138">
        <f>[2]OFICIAL!G56</f>
        <v>0</v>
      </c>
      <c r="N61" s="138">
        <f>[2]OFICIAL!H56</f>
        <v>0</v>
      </c>
      <c r="O61" s="138" t="str">
        <f>[2]OFICIAL!I56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2</v>
      </c>
      <c r="I62" s="67" t="s">
        <v>13</v>
      </c>
      <c r="J62" s="62"/>
      <c r="K62" s="62"/>
      <c r="L62" s="138">
        <f>[2]OFICIAL!G57</f>
        <v>0</v>
      </c>
      <c r="M62" s="138">
        <f>[2]OFICIAL!G57</f>
        <v>0</v>
      </c>
      <c r="N62" s="138">
        <f>[2]OFICIAL!H57</f>
        <v>0</v>
      </c>
      <c r="O62" s="138" t="str">
        <f>[2]OFICIAL!I57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[2]OFICIAL!G58</f>
        <v>0</v>
      </c>
      <c r="M63" s="138">
        <f>[2]OFICIAL!G58</f>
        <v>0</v>
      </c>
      <c r="N63" s="138">
        <f>[2]OFICIAL!H58</f>
        <v>0</v>
      </c>
      <c r="O63" s="138" t="str">
        <f>[2]OFICIAL!I58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[2]OFICIAL!G59</f>
        <v>0</v>
      </c>
      <c r="M64" s="138">
        <f>[2]OFICIAL!G59</f>
        <v>0</v>
      </c>
      <c r="N64" s="138">
        <f>[2]OFICIAL!H59</f>
        <v>0</v>
      </c>
      <c r="O64" s="138" t="str">
        <f>[2]OFICIAL!I59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1</v>
      </c>
      <c r="I65" s="67" t="s">
        <v>4</v>
      </c>
      <c r="J65" s="62"/>
      <c r="K65" s="62"/>
      <c r="L65" s="138">
        <f>[2]OFICIAL!G60</f>
        <v>0</v>
      </c>
      <c r="M65" s="138">
        <f>[2]OFICIAL!G60</f>
        <v>0</v>
      </c>
      <c r="N65" s="138">
        <f>[2]OFICIAL!H60</f>
        <v>0</v>
      </c>
      <c r="O65" s="138" t="str">
        <f>[2]OFICIAL!I60</f>
        <v>Uruguay</v>
      </c>
      <c r="P65" s="62"/>
      <c r="Q65" s="68">
        <f t="shared" si="21"/>
        <v>1</v>
      </c>
      <c r="R65" s="68">
        <f t="shared" si="22"/>
        <v>0</v>
      </c>
      <c r="S65" s="68">
        <f t="shared" si="23"/>
        <v>1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15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IF(AND(C76=[2]OFICIAL!C70,[2]OFICIAL!C70="X"),1,0)</f>
        <v>0</v>
      </c>
      <c r="M76" s="89">
        <f>IF(AND(D76=[2]OFICIAL!D70,[2]OFICIAL!D70="X"),2,0)</f>
        <v>0</v>
      </c>
      <c r="N76" s="89">
        <f>IF(AND(E76=[2]OFICIAL!E70,[2]OFICIAL!E70="X"),5,0)</f>
        <v>0</v>
      </c>
      <c r="O76" s="89">
        <f>IF(AND(F76=[2]OFICIAL!F70,[2]OFICIAL!F70="X"),8,0)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IF(AND(C77=[2]OFICIAL!C71,[2]OFICIAL!C71="X"),1,0)</f>
        <v>0</v>
      </c>
      <c r="M77" s="89">
        <f>IF(AND(D77=[2]OFICIAL!D71,[2]OFICIAL!D71="X"),2,0)</f>
        <v>0</v>
      </c>
      <c r="N77" s="89">
        <f>IF(AND(E77=[2]OFICIAL!E71,[2]OFICIAL!E71="X"),5,0)</f>
        <v>0</v>
      </c>
      <c r="O77" s="89">
        <f>IF(AND(F77=[2]OFICIAL!F71,[2]OFICIAL!F71="X"),8,0)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148</v>
      </c>
      <c r="D78" s="88"/>
      <c r="E78" s="88"/>
      <c r="F78" s="88"/>
      <c r="L78" s="89">
        <f>IF(AND(C78=[2]OFICIAL!C72,[2]OFICIAL!C72="X"),1,0)</f>
        <v>0</v>
      </c>
      <c r="M78" s="89">
        <f>IF(AND(D78=[2]OFICIAL!D72,[2]OFICIAL!D72="X"),2,0)</f>
        <v>0</v>
      </c>
      <c r="N78" s="89">
        <f>IF(AND(E78=[2]OFICIAL!E72,[2]OFICIAL!E72="X"),5,0)</f>
        <v>0</v>
      </c>
      <c r="O78" s="89">
        <f>IF(AND(F78=[2]OFICIAL!F72,[2]OFICIAL!F72="X"),8,0)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 t="s">
        <v>148</v>
      </c>
      <c r="E79" s="88"/>
      <c r="F79" s="88"/>
      <c r="L79" s="89">
        <f>IF(AND(C79=[2]OFICIAL!C73,[2]OFICIAL!C73="X"),1,0)</f>
        <v>0</v>
      </c>
      <c r="M79" s="89">
        <f>IF(AND(D79=[2]OFICIAL!D73,[2]OFICIAL!D73="X"),2,0)</f>
        <v>0</v>
      </c>
      <c r="N79" s="89">
        <f>IF(AND(E79=[2]OFICIAL!E73,[2]OFICIAL!E73="X"),5,0)</f>
        <v>0</v>
      </c>
      <c r="O79" s="89">
        <f>IF(AND(F79=[2]OFICIAL!F73,[2]OFICIAL!F73="X"),8,0)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148</v>
      </c>
      <c r="D80" s="88" t="s">
        <v>148</v>
      </c>
      <c r="E80" s="88" t="s">
        <v>148</v>
      </c>
      <c r="F80" s="88" t="s">
        <v>148</v>
      </c>
      <c r="L80" s="89">
        <f>IF(AND(C80=[2]OFICIAL!C74,[2]OFICIAL!C74="X"),1,0)</f>
        <v>0</v>
      </c>
      <c r="M80" s="89">
        <f>IF(AND(D80=[2]OFICIAL!D74,[2]OFICIAL!D74="X"),2,0)</f>
        <v>0</v>
      </c>
      <c r="N80" s="89">
        <f>IF(AND(E80=[2]OFICIAL!E74,[2]OFICIAL!E74="X"),5,0)</f>
        <v>0</v>
      </c>
      <c r="O80" s="89">
        <f>IF(AND(F80=[2]OFICIAL!F74,[2]OFICIAL!F74="X"),8,0)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IF(AND(C81=[2]OFICIAL!C75,[2]OFICIAL!C75="X"),1,0)</f>
        <v>0</v>
      </c>
      <c r="M81" s="89">
        <f>IF(AND(D81=[2]OFICIAL!D75,[2]OFICIAL!D75="X"),2,0)</f>
        <v>0</v>
      </c>
      <c r="N81" s="89">
        <f>IF(AND(E81=[2]OFICIAL!E75,[2]OFICIAL!E75="X"),5,0)</f>
        <v>0</v>
      </c>
      <c r="O81" s="89">
        <f>IF(AND(F81=[2]OFICIAL!F75,[2]OFICIAL!F75="X"),8,0)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148</v>
      </c>
      <c r="D82" s="88"/>
      <c r="E82" s="88"/>
      <c r="F82" s="88"/>
      <c r="L82" s="68">
        <f>IF(AND(C82=[2]OFICIAL!C76,[2]OFICIAL!C76="X"),1,0)</f>
        <v>0</v>
      </c>
      <c r="M82" s="68">
        <f>IF(AND(D82=[2]OFICIAL!D76,[2]OFICIAL!D76="X"),2,0)</f>
        <v>0</v>
      </c>
      <c r="N82" s="68">
        <f>IF(AND(E82=[2]OFICIAL!E76,[2]OFICIAL!E76="X"),5,0)</f>
        <v>0</v>
      </c>
      <c r="O82" s="68">
        <f>IF(AND(F82=[2]OFICIAL!F76,[2]OFICIAL!F76="X"),8,0)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IF(AND(C83=[2]OFICIAL!C77,[2]OFICIAL!C77="X"),1,0)</f>
        <v>0</v>
      </c>
      <c r="M83" s="89">
        <f>IF(AND(D83=[2]OFICIAL!D77,[2]OFICIAL!D77="X"),2,0)</f>
        <v>0</v>
      </c>
      <c r="N83" s="89">
        <f>IF(AND(E83=[2]OFICIAL!E77,[2]OFICIAL!E77="X"),5,0)</f>
        <v>0</v>
      </c>
      <c r="O83" s="89">
        <f>IF(AND(F83=[2]OFICIAL!F77,[2]OFICIAL!F77="X"),8,0)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148</v>
      </c>
      <c r="D84" s="91" t="s">
        <v>148</v>
      </c>
      <c r="E84" s="88" t="s">
        <v>148</v>
      </c>
      <c r="F84" s="88" t="s">
        <v>148</v>
      </c>
      <c r="L84" s="89">
        <f>IF(AND(C84=[2]OFICIAL!C78,[2]OFICIAL!C78="X"),1,0)</f>
        <v>0</v>
      </c>
      <c r="M84" s="89">
        <f>IF(AND(D84=[2]OFICIAL!D78,[2]OFICIAL!D78="X"),2,0)</f>
        <v>0</v>
      </c>
      <c r="N84" s="89">
        <f>IF(AND(E84=[2]OFICIAL!E78,[2]OFICIAL!E78="X"),5,0)</f>
        <v>0</v>
      </c>
      <c r="O84" s="89">
        <f>IF(AND(F84=[2]OFICIAL!F78,[2]OFICIAL!F78="X"),8,0)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IF(AND(C85=[2]OFICIAL!C79,[2]OFICIAL!C79="X"),1,0)</f>
        <v>0</v>
      </c>
      <c r="M85" s="89">
        <f>IF(AND(D85=[2]OFICIAL!D79,[2]OFICIAL!D79="X"),2,0)</f>
        <v>0</v>
      </c>
      <c r="N85" s="89">
        <f>IF(AND(E85=[2]OFICIAL!E79,[2]OFICIAL!E79="X"),5,0)</f>
        <v>0</v>
      </c>
      <c r="O85" s="89">
        <f>IF(AND(F85=[2]OFICIAL!F79,[2]OFICIAL!F79="X"),8,0)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148</v>
      </c>
      <c r="D86" s="91"/>
      <c r="E86" s="88"/>
      <c r="F86" s="88"/>
      <c r="L86" s="89">
        <f>IF(AND(C86=[2]OFICIAL!C80,[2]OFICIAL!C80="X"),1,0)</f>
        <v>0</v>
      </c>
      <c r="M86" s="89">
        <f>IF(AND(D86=[2]OFICIAL!D80,[2]OFICIAL!D80="X"),2,0)</f>
        <v>0</v>
      </c>
      <c r="N86" s="89">
        <f>IF(AND(E86=[2]OFICIAL!E80,[2]OFICIAL!E80="X"),5,0)</f>
        <v>0</v>
      </c>
      <c r="O86" s="89">
        <f>IF(AND(F86=[2]OFICIAL!F80,[2]OFICIAL!F80="X"),8,0)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IF(AND(C87=[2]OFICIAL!C81,[2]OFICIAL!C81="X"),1,0)</f>
        <v>0</v>
      </c>
      <c r="M87" s="89">
        <f>IF(AND(D87=[2]OFICIAL!D81,[2]OFICIAL!D81="X"),2,0)</f>
        <v>0</v>
      </c>
      <c r="N87" s="89">
        <f>IF(AND(E87=[2]OFICIAL!E81,[2]OFICIAL!E81="X"),5,0)</f>
        <v>0</v>
      </c>
      <c r="O87" s="89">
        <f>IF(AND(F87=[2]OFICIAL!F81,[2]OFICIAL!F81="X"),8,0)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148</v>
      </c>
      <c r="D88" s="88"/>
      <c r="E88" s="88"/>
      <c r="F88" s="88"/>
      <c r="L88" s="89">
        <f>IF(AND(C88=[2]OFICIAL!C82,[2]OFICIAL!C82="X"),1,0)</f>
        <v>0</v>
      </c>
      <c r="M88" s="89">
        <f>IF(AND(D88=[2]OFICIAL!D82,[2]OFICIAL!D82="X"),2,0)</f>
        <v>0</v>
      </c>
      <c r="N88" s="89">
        <f>IF(AND(E88=[2]OFICIAL!E82,[2]OFICIAL!E82="X"),5,0)</f>
        <v>0</v>
      </c>
      <c r="O88" s="89">
        <f>IF(AND(F88=[2]OFICIAL!F82,[2]OFICIAL!F82="X"),8,0)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IF(AND(C89=[2]OFICIAL!C83,[2]OFICIAL!C83="X"),1,0)</f>
        <v>0</v>
      </c>
      <c r="M89" s="89">
        <f>IF(AND(D89=[2]OFICIAL!D83,[2]OFICIAL!D83="X"),2,0)</f>
        <v>0</v>
      </c>
      <c r="N89" s="89">
        <f>IF(AND(E89=[2]OFICIAL!E83,[2]OFICIAL!E83="X"),5,0)</f>
        <v>0</v>
      </c>
      <c r="O89" s="89">
        <f>IF(AND(F89=[2]OFICIAL!F83,[2]OFICIAL!F83="X"),8,0)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148</v>
      </c>
      <c r="D90" s="88" t="s">
        <v>148</v>
      </c>
      <c r="E90" s="88"/>
      <c r="F90" s="88"/>
      <c r="L90" s="89">
        <f>IF(AND(C90=[2]OFICIAL!C84,[2]OFICIAL!C84="X"),1,0)</f>
        <v>0</v>
      </c>
      <c r="M90" s="89">
        <f>IF(AND(D90=[2]OFICIAL!D84,[2]OFICIAL!D84="X"),2,0)</f>
        <v>0</v>
      </c>
      <c r="N90" s="89">
        <f>IF(AND(E90=[2]OFICIAL!E84,[2]OFICIAL!E84="X"),5,0)</f>
        <v>0</v>
      </c>
      <c r="O90" s="89">
        <f>IF(AND(F90=[2]OFICIAL!F84,[2]OFICIAL!F84="X"),8,0)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IF(AND(C91=[2]OFICIAL!C85,[2]OFICIAL!C85="X"),1,0)</f>
        <v>0</v>
      </c>
      <c r="M91" s="89">
        <f>IF(AND(D91=[2]OFICIAL!D85,[2]OFICIAL!D85="X"),2,0)</f>
        <v>0</v>
      </c>
      <c r="N91" s="89">
        <f>IF(AND(E91=[2]OFICIAL!E85,[2]OFICIAL!E85="X"),5,0)</f>
        <v>0</v>
      </c>
      <c r="O91" s="89">
        <f>IF(AND(F91=[2]OFICIAL!F85,[2]OFICIAL!F85="X"),8,0)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148</v>
      </c>
      <c r="D92" s="91"/>
      <c r="E92" s="88"/>
      <c r="F92" s="88"/>
      <c r="L92" s="68">
        <f>IF(AND(C92=[2]OFICIAL!C86,[2]OFICIAL!C86="X"),1,0)</f>
        <v>0</v>
      </c>
      <c r="M92" s="68">
        <f>IF(AND(D92=[2]OFICIAL!D86,[2]OFICIAL!D86="X"),2,0)</f>
        <v>0</v>
      </c>
      <c r="N92" s="68">
        <f>IF(AND(E92=[2]OFICIAL!E86,[2]OFICIAL!E86="X"),5,0)</f>
        <v>0</v>
      </c>
      <c r="O92" s="68">
        <f>IF(AND(F92=[2]OFICIAL!F86,[2]OFICIAL!F86="X"),8,0)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IF(AND(C93=[2]OFICIAL!C87,[2]OFICIAL!C87="X"),1,0)</f>
        <v>0</v>
      </c>
      <c r="M93" s="68">
        <f>IF(AND(D93=[2]OFICIAL!D87,[2]OFICIAL!D87="X"),2,0)</f>
        <v>0</v>
      </c>
      <c r="N93" s="68">
        <f>IF(AND(E93=[2]OFICIAL!E87,[2]OFICIAL!E87="X"),5,0)</f>
        <v>0</v>
      </c>
      <c r="O93" s="68">
        <f>IF(AND(F93=[2]OFICIAL!F87,[2]OFICIAL!F87="X"),8,0)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148</v>
      </c>
      <c r="D94" s="88" t="s">
        <v>148</v>
      </c>
      <c r="E94" s="88" t="s">
        <v>148</v>
      </c>
      <c r="F94" s="88"/>
      <c r="L94" s="68">
        <f>IF(AND(C94=[2]OFICIAL!C88,[2]OFICIAL!C88="X"),1,0)</f>
        <v>0</v>
      </c>
      <c r="M94" s="68">
        <f>IF(AND(D94=[2]OFICIAL!D88,[2]OFICIAL!D88="X"),2,0)</f>
        <v>0</v>
      </c>
      <c r="N94" s="68">
        <f>IF(AND(E94=[2]OFICIAL!E88,[2]OFICIAL!E88="X"),5,0)</f>
        <v>0</v>
      </c>
      <c r="O94" s="68">
        <f>IF(AND(F94=[2]OFICIAL!F88,[2]OFICIAL!F88="X"),8,0)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IF(AND(C95=[2]OFICIAL!C89,[2]OFICIAL!C89="X"),1,0)</f>
        <v>0</v>
      </c>
      <c r="M95" s="68">
        <f>IF(AND(D95=[2]OFICIAL!D89,[2]OFICIAL!D89="X"),2,0)</f>
        <v>0</v>
      </c>
      <c r="N95" s="68">
        <f>IF(AND(E95=[2]OFICIAL!E89,[2]OFICIAL!E89="X"),5,0)</f>
        <v>0</v>
      </c>
      <c r="O95" s="68">
        <f>IF(AND(F95=[2]OFICIAL!F89,[2]OFICIAL!F89="X"),8,0)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148</v>
      </c>
      <c r="D96" s="88" t="s">
        <v>148</v>
      </c>
      <c r="E96" s="88"/>
      <c r="F96" s="88"/>
      <c r="L96" s="68">
        <f>IF(AND(C96=[2]OFICIAL!C90,[2]OFICIAL!C90="X"),1,0)</f>
        <v>0</v>
      </c>
      <c r="M96" s="68">
        <f>IF(AND(D96=[2]OFICIAL!D90,[2]OFICIAL!D90="X"),2,0)</f>
        <v>0</v>
      </c>
      <c r="N96" s="68">
        <f>IF(AND(E96=[2]OFICIAL!E90,[2]OFICIAL!E90="X"),5,0)</f>
        <v>0</v>
      </c>
      <c r="O96" s="68">
        <f>IF(AND(F96=[2]OFICIAL!F90,[2]OFICIAL!F90="X"),8,0)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IF(AND(C97=[2]OFICIAL!C91,[2]OFICIAL!C91="X"),1,0)</f>
        <v>0</v>
      </c>
      <c r="M97" s="68">
        <f>IF(AND(D97=[2]OFICIAL!D91,[2]OFICIAL!D91="X"),2,0)</f>
        <v>0</v>
      </c>
      <c r="N97" s="68">
        <f>IF(AND(E97=[2]OFICIAL!E91,[2]OFICIAL!E91="X"),5,0)</f>
        <v>0</v>
      </c>
      <c r="O97" s="68">
        <f>IF(AND(F97=[2]OFICIAL!F91,[2]OFICIAL!F91="X"),8,0)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IF(AND(C98=[2]OFICIAL!C92,[2]OFICIAL!C92="X"),1,0)</f>
        <v>0</v>
      </c>
      <c r="M98" s="68">
        <f>IF(AND(D98=[2]OFICIAL!D92,[2]OFICIAL!D92="X"),2,0)</f>
        <v>0</v>
      </c>
      <c r="N98" s="68">
        <f>IF(AND(E98=[2]OFICIAL!E92,[2]OFICIAL!E92="X"),5,0)</f>
        <v>0</v>
      </c>
      <c r="O98" s="68">
        <f>IF(AND(F98=[2]OFICIAL!F92,[2]OFICIAL!F92="X"),8,0)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148</v>
      </c>
      <c r="D99" s="88"/>
      <c r="E99" s="88"/>
      <c r="F99" s="88"/>
      <c r="L99" s="68">
        <f>IF(AND(C99=[2]OFICIAL!C93,[2]OFICIAL!C93="X"),1,0)</f>
        <v>0</v>
      </c>
      <c r="M99" s="68">
        <f>IF(AND(D99=[2]OFICIAL!D93,[2]OFICIAL!D93="X"),2,0)</f>
        <v>0</v>
      </c>
      <c r="N99" s="68">
        <f>IF(AND(E99=[2]OFICIAL!E93,[2]OFICIAL!E93="X"),5,0)</f>
        <v>0</v>
      </c>
      <c r="O99" s="68">
        <f>IF(AND(F99=[2]OFICIAL!F93,[2]OFICIAL!F93="X"),8,0)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148</v>
      </c>
      <c r="D100" s="88" t="s">
        <v>148</v>
      </c>
      <c r="E100" s="88"/>
      <c r="F100" s="88"/>
      <c r="L100" s="68">
        <f>IF(AND(C100=[2]OFICIAL!C94,[2]OFICIAL!C94="X"),1,0)</f>
        <v>0</v>
      </c>
      <c r="M100" s="68">
        <f>IF(AND(D100=[2]OFICIAL!D94,[2]OFICIAL!D94="X"),2,0)</f>
        <v>0</v>
      </c>
      <c r="N100" s="68">
        <f>IF(AND(E100=[2]OFICIAL!E94,[2]OFICIAL!E94="X"),5,0)</f>
        <v>0</v>
      </c>
      <c r="O100" s="68">
        <f>IF(AND(F100=[2]OFICIAL!F94,[2]OFICIAL!F94="X"),8,0)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 t="s">
        <v>148</v>
      </c>
      <c r="D101" s="88"/>
      <c r="E101" s="88"/>
      <c r="F101" s="88"/>
      <c r="L101" s="68">
        <f>IF(AND(C101=[2]OFICIAL!C95,[2]OFICIAL!C95="X"),1,0)</f>
        <v>0</v>
      </c>
      <c r="M101" s="68">
        <f>IF(AND(D101=[2]OFICIAL!D95,[2]OFICIAL!D95="X"),2,0)</f>
        <v>0</v>
      </c>
      <c r="N101" s="68">
        <f>IF(AND(E101=[2]OFICIAL!E95,[2]OFICIAL!E95="X"),5,0)</f>
        <v>0</v>
      </c>
      <c r="O101" s="68">
        <f>IF(AND(F101=[2]OFICIAL!F95,[2]OFICIAL!F95="X"),8,0)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IF(AND(C102=[2]OFICIAL!C96,[2]OFICIAL!C96="X"),1,0)</f>
        <v>0</v>
      </c>
      <c r="M102" s="68">
        <f>IF(AND(D102=[2]OFICIAL!D96,[2]OFICIAL!D96="X"),2,0)</f>
        <v>0</v>
      </c>
      <c r="N102" s="68">
        <f>IF(AND(E102=[2]OFICIAL!E96,[2]OFICIAL!E96="X"),5,0)</f>
        <v>0</v>
      </c>
      <c r="O102" s="68">
        <f>IF(AND(F102=[2]OFICIAL!F96,[2]OFICIAL!F96="X"),8,0)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IF(AND(C103=[2]OFICIAL!C97,[2]OFICIAL!C97="X"),1,0)</f>
        <v>0</v>
      </c>
      <c r="M103" s="68">
        <f>IF(AND(D103=[2]OFICIAL!D97,[2]OFICIAL!D97="X"),2,0)</f>
        <v>0</v>
      </c>
      <c r="N103" s="68">
        <f>IF(AND(E103=[2]OFICIAL!E97,[2]OFICIAL!E97="X"),5,0)</f>
        <v>0</v>
      </c>
      <c r="O103" s="68">
        <f>IF(AND(F103=[2]OFICIAL!F97,[2]OFICIAL!F97="X"),8,0)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148</v>
      </c>
      <c r="D104" s="88" t="s">
        <v>148</v>
      </c>
      <c r="E104" s="88" t="s">
        <v>148</v>
      </c>
      <c r="F104" s="88"/>
      <c r="L104" s="68">
        <f>IF(AND(C104=[2]OFICIAL!C98,[2]OFICIAL!C98="X"),1,0)</f>
        <v>0</v>
      </c>
      <c r="M104" s="68">
        <f>IF(AND(D104=[2]OFICIAL!D98,[2]OFICIAL!D98="X"),2,0)</f>
        <v>0</v>
      </c>
      <c r="N104" s="68">
        <f>IF(AND(E104=[2]OFICIAL!E98,[2]OFICIAL!E98="X"),5,0)</f>
        <v>0</v>
      </c>
      <c r="O104" s="68">
        <f>IF(AND(F104=[2]OFICIAL!F98,[2]OFICIAL!F98="X"),8,0)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IF(AND(C105=[2]OFICIAL!C99,[2]OFICIAL!C99="X"),1,0)</f>
        <v>0</v>
      </c>
      <c r="M105" s="68">
        <f>IF(AND(D105=[2]OFICIAL!D99,[2]OFICIAL!D99="X"),2,0)</f>
        <v>0</v>
      </c>
      <c r="N105" s="68">
        <f>IF(AND(E105=[2]OFICIAL!E99,[2]OFICIAL!E99="X"),5,0)</f>
        <v>0</v>
      </c>
      <c r="O105" s="68">
        <f>IF(AND(F105=[2]OFICIAL!F99,[2]OFICIAL!F99="X"),8,0)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148</v>
      </c>
      <c r="D106" s="91"/>
      <c r="E106" s="88"/>
      <c r="F106" s="88"/>
      <c r="L106" s="68">
        <f>IF(AND(C106=[2]OFICIAL!C100,[2]OFICIAL!C100="X"),1,0)</f>
        <v>0</v>
      </c>
      <c r="M106" s="68">
        <f>IF(AND(D106=[2]OFICIAL!D100,[2]OFICIAL!D100="X"),2,0)</f>
        <v>0</v>
      </c>
      <c r="N106" s="68">
        <f>IF(AND(E106=[2]OFICIAL!E100,[2]OFICIAL!E100="X"),5,0)</f>
        <v>0</v>
      </c>
      <c r="O106" s="68">
        <f>IF(AND(F106=[2]OFICIAL!F100,[2]OFICIAL!F100="X"),8,0)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IF(AND(C107=[2]OFICIAL!C101,[2]OFICIAL!C101="X"),1,0)</f>
        <v>0</v>
      </c>
      <c r="M107" s="68">
        <f>IF(AND(D107=[2]OFICIAL!D101,[2]OFICIAL!D101="X"),2,0)</f>
        <v>0</v>
      </c>
      <c r="N107" s="68">
        <f>IF(AND(E107=[2]OFICIAL!E101,[2]OFICIAL!E101="X"),5,0)</f>
        <v>0</v>
      </c>
      <c r="O107" s="68">
        <f>IF(AND(F107=[2]OFICIAL!F101,[2]OFICIAL!F101="X"),8,0)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IF(B113=[2]OFICIAL!B105,10,0)</f>
        <v>0</v>
      </c>
    </row>
    <row r="114" spans="1:19" ht="12.75" customHeight="1" x14ac:dyDescent="0.2">
      <c r="A114" s="52" t="s">
        <v>64</v>
      </c>
      <c r="B114" s="93" t="s">
        <v>9</v>
      </c>
      <c r="D114" s="57" t="s">
        <v>70</v>
      </c>
      <c r="S114" s="68">
        <f>IF(B114=[2]OFICIAL!B106,8,0)</f>
        <v>0</v>
      </c>
    </row>
    <row r="115" spans="1:19" ht="12.75" customHeight="1" x14ac:dyDescent="0.2">
      <c r="A115" s="52" t="s">
        <v>65</v>
      </c>
      <c r="B115" s="93" t="s">
        <v>11</v>
      </c>
      <c r="D115" s="57" t="s">
        <v>71</v>
      </c>
      <c r="S115" s="68">
        <f>IF(B115=[2]OFICIAL!B107,6,0)</f>
        <v>0</v>
      </c>
    </row>
    <row r="116" spans="1:19" ht="12.75" customHeight="1" x14ac:dyDescent="0.2">
      <c r="A116" s="52" t="s">
        <v>66</v>
      </c>
      <c r="B116" s="93" t="s">
        <v>19</v>
      </c>
      <c r="D116" s="57" t="s">
        <v>72</v>
      </c>
      <c r="S116" s="68">
        <f>IF(B116=[2]OFICIAL!B108,4,0)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161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159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132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15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15</v>
      </c>
      <c r="R135" s="125"/>
      <c r="S135" s="125"/>
    </row>
  </sheetData>
  <sheetProtection algorithmName="SHA-512" hashValue="vc5Xt3JyImjazmoKAUtXbZuBU1X3mt59ykuEnFmujmxh0CZdFd+yO/2cBj5O54OtDwQ8IZU2PEGh/4EMn7NWmQ==" saltValue="z9X0RVFm/bUI27DiF80vfg==" spinCount="100000" sheet="1" objects="1" scenarios="1"/>
  <mergeCells count="197">
    <mergeCell ref="Q127:S127"/>
    <mergeCell ref="B131:O131"/>
    <mergeCell ref="Q131:S131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D65:F65"/>
    <mergeCell ref="L65:M65"/>
    <mergeCell ref="N65:O65"/>
    <mergeCell ref="Q68:S68"/>
    <mergeCell ref="A70:B70"/>
    <mergeCell ref="C70:O70"/>
    <mergeCell ref="B123:I123"/>
    <mergeCell ref="B124:I124"/>
    <mergeCell ref="B125:I125"/>
    <mergeCell ref="D57:F57"/>
    <mergeCell ref="L57:M57"/>
    <mergeCell ref="N57:O57"/>
    <mergeCell ref="D58:F58"/>
    <mergeCell ref="L58:M58"/>
    <mergeCell ref="N58:O58"/>
    <mergeCell ref="L74:O74"/>
    <mergeCell ref="Q109:S109"/>
    <mergeCell ref="Q118:S118"/>
    <mergeCell ref="D60:F60"/>
    <mergeCell ref="L60:M60"/>
    <mergeCell ref="N60:O60"/>
    <mergeCell ref="D61:F61"/>
    <mergeCell ref="L61:M61"/>
    <mergeCell ref="N61:O61"/>
    <mergeCell ref="D62:F62"/>
    <mergeCell ref="L62:M62"/>
    <mergeCell ref="N62:O62"/>
    <mergeCell ref="D63:F63"/>
    <mergeCell ref="L63:M63"/>
    <mergeCell ref="N63:O63"/>
    <mergeCell ref="D64:F64"/>
    <mergeCell ref="L64:M64"/>
    <mergeCell ref="N64:O64"/>
    <mergeCell ref="D49:F49"/>
    <mergeCell ref="L49:M49"/>
    <mergeCell ref="N49:O49"/>
    <mergeCell ref="D50:F50"/>
    <mergeCell ref="L50:M50"/>
    <mergeCell ref="N50:O50"/>
    <mergeCell ref="D59:F59"/>
    <mergeCell ref="L59:M59"/>
    <mergeCell ref="N59:O59"/>
    <mergeCell ref="D52:F52"/>
    <mergeCell ref="L52:M52"/>
    <mergeCell ref="N52:O52"/>
    <mergeCell ref="D53:F53"/>
    <mergeCell ref="L53:M53"/>
    <mergeCell ref="N53:O53"/>
    <mergeCell ref="D54:F54"/>
    <mergeCell ref="L54:M54"/>
    <mergeCell ref="N54:O54"/>
    <mergeCell ref="D55:F55"/>
    <mergeCell ref="L55:M55"/>
    <mergeCell ref="N55:O55"/>
    <mergeCell ref="D56:F56"/>
    <mergeCell ref="L56:M56"/>
    <mergeCell ref="N56:O56"/>
    <mergeCell ref="D41:F41"/>
    <mergeCell ref="L41:M41"/>
    <mergeCell ref="N41:O41"/>
    <mergeCell ref="D42:F42"/>
    <mergeCell ref="L42:M42"/>
    <mergeCell ref="N42:O42"/>
    <mergeCell ref="D51:F51"/>
    <mergeCell ref="L51:M51"/>
    <mergeCell ref="N51:O51"/>
    <mergeCell ref="D44:F44"/>
    <mergeCell ref="L44:M44"/>
    <mergeCell ref="N44:O44"/>
    <mergeCell ref="D45:F45"/>
    <mergeCell ref="L45:M45"/>
    <mergeCell ref="N45:O45"/>
    <mergeCell ref="D46:F46"/>
    <mergeCell ref="L46:M46"/>
    <mergeCell ref="N46:O46"/>
    <mergeCell ref="D47:F47"/>
    <mergeCell ref="L47:M47"/>
    <mergeCell ref="N47:O47"/>
    <mergeCell ref="D48:F48"/>
    <mergeCell ref="L48:M48"/>
    <mergeCell ref="N48:O48"/>
    <mergeCell ref="D33:F33"/>
    <mergeCell ref="L33:M33"/>
    <mergeCell ref="N33:O33"/>
    <mergeCell ref="D34:F34"/>
    <mergeCell ref="L34:M34"/>
    <mergeCell ref="N34:O34"/>
    <mergeCell ref="D43:F43"/>
    <mergeCell ref="L43:M43"/>
    <mergeCell ref="N43:O43"/>
    <mergeCell ref="D36:F36"/>
    <mergeCell ref="L36:M36"/>
    <mergeCell ref="N36:O36"/>
    <mergeCell ref="D37:F37"/>
    <mergeCell ref="L37:M37"/>
    <mergeCell ref="N37:O37"/>
    <mergeCell ref="D38:F38"/>
    <mergeCell ref="L38:M38"/>
    <mergeCell ref="N38:O38"/>
    <mergeCell ref="D39:F39"/>
    <mergeCell ref="L39:M39"/>
    <mergeCell ref="N39:O39"/>
    <mergeCell ref="D40:F40"/>
    <mergeCell ref="L40:M40"/>
    <mergeCell ref="N40:O40"/>
    <mergeCell ref="D25:F25"/>
    <mergeCell ref="L25:M25"/>
    <mergeCell ref="N25:O25"/>
    <mergeCell ref="D26:F26"/>
    <mergeCell ref="L26:M26"/>
    <mergeCell ref="N26:O26"/>
    <mergeCell ref="D35:F35"/>
    <mergeCell ref="L35:M35"/>
    <mergeCell ref="N35:O35"/>
    <mergeCell ref="D28:F28"/>
    <mergeCell ref="L28:M28"/>
    <mergeCell ref="N28:O28"/>
    <mergeCell ref="D29:F29"/>
    <mergeCell ref="L29:M29"/>
    <mergeCell ref="N29:O29"/>
    <mergeCell ref="D30:F30"/>
    <mergeCell ref="L30:M30"/>
    <mergeCell ref="N30:O30"/>
    <mergeCell ref="D31:F31"/>
    <mergeCell ref="L31:M31"/>
    <mergeCell ref="N31:O31"/>
    <mergeCell ref="D32:F32"/>
    <mergeCell ref="L32:M32"/>
    <mergeCell ref="N32:O32"/>
    <mergeCell ref="D17:F17"/>
    <mergeCell ref="L17:M17"/>
    <mergeCell ref="N17:O17"/>
    <mergeCell ref="D18:F18"/>
    <mergeCell ref="L18:M18"/>
    <mergeCell ref="N18:O18"/>
    <mergeCell ref="D27:F27"/>
    <mergeCell ref="L27:M27"/>
    <mergeCell ref="N27:O27"/>
    <mergeCell ref="D20:F20"/>
    <mergeCell ref="L20:M20"/>
    <mergeCell ref="N20:O20"/>
    <mergeCell ref="D21:F21"/>
    <mergeCell ref="L21:M21"/>
    <mergeCell ref="N21:O21"/>
    <mergeCell ref="D22:F22"/>
    <mergeCell ref="L22:M22"/>
    <mergeCell ref="N22:O22"/>
    <mergeCell ref="D23:F23"/>
    <mergeCell ref="L23:M23"/>
    <mergeCell ref="N23:O23"/>
    <mergeCell ref="D24:F24"/>
    <mergeCell ref="L24:M24"/>
    <mergeCell ref="N24:O24"/>
    <mergeCell ref="Q5:S5"/>
    <mergeCell ref="L6:O6"/>
    <mergeCell ref="Q6:S6"/>
    <mergeCell ref="G8:H8"/>
    <mergeCell ref="L8:O8"/>
    <mergeCell ref="Q8:S8"/>
    <mergeCell ref="D19:F19"/>
    <mergeCell ref="L19:M19"/>
    <mergeCell ref="N19:O19"/>
    <mergeCell ref="D12:F12"/>
    <mergeCell ref="L12:M12"/>
    <mergeCell ref="N12:O12"/>
    <mergeCell ref="D13:F13"/>
    <mergeCell ref="L13:M13"/>
    <mergeCell ref="N13:O13"/>
    <mergeCell ref="D14:F14"/>
    <mergeCell ref="L14:M14"/>
    <mergeCell ref="N14:O14"/>
    <mergeCell ref="D15:F15"/>
    <mergeCell ref="L15:M15"/>
    <mergeCell ref="N15:O15"/>
    <mergeCell ref="D16:F16"/>
    <mergeCell ref="L16:M16"/>
    <mergeCell ref="N16:O16"/>
    <mergeCell ref="G9:H9"/>
    <mergeCell ref="L9:O9"/>
    <mergeCell ref="D11:F11"/>
    <mergeCell ref="L11:M11"/>
    <mergeCell ref="N11:O11"/>
    <mergeCell ref="O1:O3"/>
    <mergeCell ref="E2:G2"/>
    <mergeCell ref="C5:I5"/>
    <mergeCell ref="L5:O5"/>
  </mergeCells>
  <conditionalFormatting sqref="C86">
    <cfRule type="cellIs" dxfId="34" priority="67" stopIfTrue="1" operator="lessThan">
      <formula>0</formula>
    </cfRule>
  </conditionalFormatting>
  <conditionalFormatting sqref="C99:D101">
    <cfRule type="cellIs" dxfId="33" priority="66" stopIfTrue="1" operator="lessThan">
      <formula>0</formula>
    </cfRule>
  </conditionalFormatting>
  <conditionalFormatting sqref="D11:F16">
    <cfRule type="cellIs" dxfId="32" priority="1" stopIfTrue="1" operator="lessThan">
      <formula>0</formula>
    </cfRule>
  </conditionalFormatting>
  <conditionalFormatting sqref="G11:H16 G18:H23 G25:H30 G32:H37 G39:H44 G46:H51 G53:H58 G60:H65">
    <cfRule type="cellIs" dxfId="31" priority="68" stopIfTrue="1" operator="equal">
      <formula>-1</formula>
    </cfRule>
  </conditionalFormatting>
  <conditionalFormatting sqref="L18:M18">
    <cfRule type="cellIs" dxfId="30" priority="30" stopIfTrue="1" operator="equal">
      <formula>-1</formula>
    </cfRule>
  </conditionalFormatting>
  <conditionalFormatting sqref="L25:M25">
    <cfRule type="cellIs" dxfId="29" priority="27" stopIfTrue="1" operator="equal">
      <formula>-1</formula>
    </cfRule>
  </conditionalFormatting>
  <conditionalFormatting sqref="L32:M32">
    <cfRule type="cellIs" dxfId="28" priority="24" stopIfTrue="1" operator="equal">
      <formula>-1</formula>
    </cfRule>
  </conditionalFormatting>
  <conditionalFormatting sqref="L39:M39">
    <cfRule type="cellIs" dxfId="27" priority="21" stopIfTrue="1" operator="equal">
      <formula>-1</formula>
    </cfRule>
  </conditionalFormatting>
  <conditionalFormatting sqref="L46:M46">
    <cfRule type="cellIs" dxfId="26" priority="18" stopIfTrue="1" operator="equal">
      <formula>-1</formula>
    </cfRule>
  </conditionalFormatting>
  <conditionalFormatting sqref="L53:M53">
    <cfRule type="cellIs" dxfId="25" priority="15" stopIfTrue="1" operator="equal">
      <formula>-1</formula>
    </cfRule>
  </conditionalFormatting>
  <conditionalFormatting sqref="L60:M60">
    <cfRule type="cellIs" dxfId="24" priority="12" stopIfTrue="1" operator="equal">
      <formula>-1</formula>
    </cfRule>
  </conditionalFormatting>
  <conditionalFormatting sqref="L11:O16">
    <cfRule type="cellIs" dxfId="23" priority="63" stopIfTrue="1" operator="equal">
      <formula>-1</formula>
    </cfRule>
    <cfRule type="cellIs" dxfId="22" priority="32" stopIfTrue="1" operator="equal">
      <formula>-1</formula>
    </cfRule>
  </conditionalFormatting>
  <conditionalFormatting sqref="L18:O23">
    <cfRule type="cellIs" dxfId="21" priority="10" stopIfTrue="1" operator="equal">
      <formula>-1</formula>
    </cfRule>
    <cfRule type="cellIs" dxfId="20" priority="41" stopIfTrue="1" operator="equal">
      <formula>-1</formula>
    </cfRule>
  </conditionalFormatting>
  <conditionalFormatting sqref="L25:O30">
    <cfRule type="cellIs" dxfId="19" priority="9" stopIfTrue="1" operator="equal">
      <formula>-1</formula>
    </cfRule>
    <cfRule type="cellIs" dxfId="18" priority="40" stopIfTrue="1" operator="equal">
      <formula>-1</formula>
    </cfRule>
  </conditionalFormatting>
  <conditionalFormatting sqref="L32:O37">
    <cfRule type="cellIs" dxfId="17" priority="8" stopIfTrue="1" operator="equal">
      <formula>-1</formula>
    </cfRule>
    <cfRule type="cellIs" dxfId="16" priority="39" stopIfTrue="1" operator="equal">
      <formula>-1</formula>
    </cfRule>
  </conditionalFormatting>
  <conditionalFormatting sqref="L39:O44">
    <cfRule type="cellIs" dxfId="15" priority="7" stopIfTrue="1" operator="equal">
      <formula>-1</formula>
    </cfRule>
    <cfRule type="cellIs" dxfId="14" priority="38" stopIfTrue="1" operator="equal">
      <formula>-1</formula>
    </cfRule>
  </conditionalFormatting>
  <conditionalFormatting sqref="L46:O51">
    <cfRule type="cellIs" dxfId="13" priority="6" stopIfTrue="1" operator="equal">
      <formula>-1</formula>
    </cfRule>
    <cfRule type="cellIs" dxfId="12" priority="37" stopIfTrue="1" operator="equal">
      <formula>-1</formula>
    </cfRule>
  </conditionalFormatting>
  <conditionalFormatting sqref="L53:O58">
    <cfRule type="cellIs" dxfId="11" priority="5" stopIfTrue="1" operator="equal">
      <formula>-1</formula>
    </cfRule>
    <cfRule type="cellIs" dxfId="10" priority="36" stopIfTrue="1" operator="equal">
      <formula>-1</formula>
    </cfRule>
  </conditionalFormatting>
  <conditionalFormatting sqref="L60:O65">
    <cfRule type="cellIs" dxfId="9" priority="4" stopIfTrue="1" operator="equal">
      <formula>-1</formula>
    </cfRule>
    <cfRule type="cellIs" dxfId="8" priority="35" stopIfTrue="1" operator="equal">
      <formula>-1</formula>
    </cfRule>
  </conditionalFormatting>
  <conditionalFormatting sqref="L76:O107">
    <cfRule type="cellIs" dxfId="7" priority="3" stopIfTrue="1" operator="lessThan">
      <formula>0</formula>
    </cfRule>
  </conditionalFormatting>
  <conditionalFormatting sqref="N11:N65">
    <cfRule type="cellIs" dxfId="6" priority="33" stopIfTrue="1" operator="equal">
      <formula>-1</formula>
    </cfRule>
    <cfRule type="cellIs" dxfId="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4" priority="70" stopIfTrue="1" operator="lessThan">
      <formula>0</formula>
    </cfRule>
  </conditionalFormatting>
  <conditionalFormatting sqref="N11:O65">
    <cfRule type="cellIs" dxfId="3" priority="34" stopIfTrue="1" operator="lessThan">
      <formula>0</formula>
    </cfRule>
    <cfRule type="cellIs" dxfId="2" priority="65" stopIfTrue="1" operator="lessThan">
      <formula>0</formula>
    </cfRule>
  </conditionalFormatting>
  <conditionalFormatting sqref="O11:O16 N11:N65 O18:O23 O25:O30 O32:O37 O39:O44 O46:O51 O53:O58 O60:O65">
    <cfRule type="cellIs" dxfId="1" priority="69" stopIfTrue="1" operator="equal">
      <formula>-1</formula>
    </cfRule>
  </conditionalFormatting>
  <conditionalFormatting sqref="S113:S116">
    <cfRule type="cellIs" dxfId="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OFICIAL</vt:lpstr>
      <vt:lpstr>XXX</vt:lpstr>
      <vt:lpstr>creuaments</vt:lpstr>
      <vt:lpstr>SMJ</vt:lpstr>
      <vt:lpstr>AJD</vt:lpstr>
      <vt:lpstr>JCB</vt:lpstr>
      <vt:lpstr>AHG</vt:lpstr>
      <vt:lpstr>CSE</vt:lpstr>
      <vt:lpstr>ESS</vt:lpstr>
      <vt:lpstr>FCJ</vt:lpstr>
      <vt:lpstr>SFA</vt:lpstr>
      <vt:lpstr>DSA</vt:lpstr>
      <vt:lpstr>JVG</vt:lpstr>
      <vt:lpstr>JPP</vt:lpstr>
      <vt:lpstr>HCL</vt:lpstr>
      <vt:lpstr>DAL</vt:lpstr>
      <vt:lpstr>PSI</vt:lpstr>
      <vt:lpstr>NDC</vt:lpstr>
      <vt:lpstr>JST</vt:lpstr>
      <vt:lpstr>XRS</vt:lpstr>
    </vt:vector>
  </TitlesOfParts>
  <Company>TYPSA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VAZQUEZ GIL JAVIER</cp:lastModifiedBy>
  <dcterms:created xsi:type="dcterms:W3CDTF">2010-04-21T21:55:16Z</dcterms:created>
  <dcterms:modified xsi:type="dcterms:W3CDTF">2026-05-16T06:44:52Z</dcterms:modified>
</cp:coreProperties>
</file>